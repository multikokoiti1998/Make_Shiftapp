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中央放射線部3\Documents\oku\勤務表\"/>
    </mc:Choice>
  </mc:AlternateContent>
  <xr:revisionPtr revIDLastSave="0" documentId="13_ncr:1_{CF89949B-A1F2-43B0-B91F-E50067D15F26}" xr6:coauthVersionLast="47" xr6:coauthVersionMax="47" xr10:uidLastSave="{00000000-0000-0000-0000-000000000000}"/>
  <bookViews>
    <workbookView xWindow="-24120" yWindow="-120" windowWidth="24240" windowHeight="13020" xr2:uid="{00000000-000D-0000-FFFF-FFFF00000000}"/>
  </bookViews>
  <sheets>
    <sheet name="らいふクリニック" sheetId="1" r:id="rId1"/>
    <sheet name="印刷画面" sheetId="2" r:id="rId2"/>
    <sheet name="Sheet1" sheetId="3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</externalReferences>
  <definedNames>
    <definedName name="_xlnm.Print_Area" localSheetId="2">Sheet1!$A$1:$E$32</definedName>
    <definedName name="_xlnm.Print_Area" localSheetId="1">印刷画面!$H$1:$K$19</definedName>
    <definedName name="休">[1]●!$D$1:$AH$52</definedName>
    <definedName name="日勤">[1]日勤!$D$1:$AH$101</definedName>
    <definedName name="明">[1]明!$D$1:$AH$52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I3" i="1"/>
  <c r="F189" i="1" l="1"/>
  <c r="F190" i="1"/>
  <c r="S3" i="1" l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R3" i="1"/>
  <c r="Q3" i="1"/>
  <c r="P3" i="1"/>
  <c r="O3" i="1"/>
  <c r="M3" i="1"/>
  <c r="J3" i="1"/>
  <c r="N3" i="1"/>
  <c r="K3" i="1" l="1"/>
  <c r="F616" i="1" l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469" i="1"/>
  <c r="F470" i="1"/>
  <c r="F471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20" i="1"/>
  <c r="F221" i="1"/>
  <c r="F222" i="1"/>
  <c r="F85" i="1" l="1"/>
  <c r="F86" i="1"/>
  <c r="F87" i="1"/>
  <c r="L3" i="1" l="1"/>
  <c r="D82" i="1" l="1"/>
  <c r="D83" i="1"/>
  <c r="E83" i="1" s="1"/>
  <c r="AS83" i="1" s="1"/>
  <c r="D84" i="1"/>
  <c r="E84" i="1" s="1"/>
  <c r="AS84" i="1" s="1"/>
  <c r="D85" i="1"/>
  <c r="E85" i="1" s="1"/>
  <c r="AS85" i="1" s="1"/>
  <c r="D86" i="1"/>
  <c r="D87" i="1"/>
  <c r="E87" i="1" s="1"/>
  <c r="AS87" i="1" s="1"/>
  <c r="D88" i="1"/>
  <c r="E88" i="1" s="1"/>
  <c r="AS88" i="1" s="1"/>
  <c r="D89" i="1"/>
  <c r="D90" i="1"/>
  <c r="E90" i="1" s="1"/>
  <c r="AS90" i="1" s="1"/>
  <c r="D91" i="1"/>
  <c r="E91" i="1" s="1"/>
  <c r="AS91" i="1" s="1"/>
  <c r="D92" i="1"/>
  <c r="E92" i="1" s="1"/>
  <c r="AS92" i="1" s="1"/>
  <c r="D93" i="1"/>
  <c r="D94" i="1"/>
  <c r="D95" i="1"/>
  <c r="E95" i="1" s="1"/>
  <c r="AS95" i="1" s="1"/>
  <c r="D96" i="1"/>
  <c r="D97" i="1"/>
  <c r="D98" i="1"/>
  <c r="D99" i="1"/>
  <c r="E99" i="1" s="1"/>
  <c r="AS99" i="1" s="1"/>
  <c r="D100" i="1"/>
  <c r="D101" i="1"/>
  <c r="E101" i="1" s="1"/>
  <c r="AS101" i="1" s="1"/>
  <c r="D102" i="1"/>
  <c r="B104" i="1"/>
  <c r="B107" i="1" s="1"/>
  <c r="B105" i="1"/>
  <c r="B108" i="1" s="1"/>
  <c r="B103" i="1"/>
  <c r="B106" i="1" s="1"/>
  <c r="C94" i="1"/>
  <c r="C95" i="1"/>
  <c r="C96" i="1"/>
  <c r="C97" i="1"/>
  <c r="F97" i="1"/>
  <c r="C98" i="1"/>
  <c r="C99" i="1"/>
  <c r="F99" i="1"/>
  <c r="C100" i="1"/>
  <c r="F100" i="1"/>
  <c r="C101" i="1"/>
  <c r="F101" i="1"/>
  <c r="C102" i="1"/>
  <c r="F102" i="1"/>
  <c r="F104" i="1"/>
  <c r="F105" i="1"/>
  <c r="F106" i="1"/>
  <c r="F107" i="1"/>
  <c r="F109" i="1"/>
  <c r="F110" i="1"/>
  <c r="F111" i="1"/>
  <c r="F112" i="1"/>
  <c r="F113" i="1"/>
  <c r="F115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93" i="1"/>
  <c r="C92" i="1"/>
  <c r="C93" i="1"/>
  <c r="F83" i="1"/>
  <c r="F91" i="1"/>
  <c r="C83" i="1"/>
  <c r="C84" i="1"/>
  <c r="C85" i="1"/>
  <c r="C86" i="1"/>
  <c r="C87" i="1"/>
  <c r="C88" i="1"/>
  <c r="C89" i="1"/>
  <c r="C90" i="1"/>
  <c r="C91" i="1"/>
  <c r="C77" i="1"/>
  <c r="C78" i="1"/>
  <c r="C79" i="1"/>
  <c r="C80" i="1"/>
  <c r="C81" i="1"/>
  <c r="C82" i="1"/>
  <c r="C76" i="1"/>
  <c r="D76" i="1"/>
  <c r="E76" i="1" s="1"/>
  <c r="AS76" i="1" s="1"/>
  <c r="D77" i="1"/>
  <c r="E77" i="1" s="1"/>
  <c r="AS77" i="1" s="1"/>
  <c r="F77" i="1"/>
  <c r="D78" i="1"/>
  <c r="E78" i="1" s="1"/>
  <c r="AS78" i="1" s="1"/>
  <c r="D79" i="1"/>
  <c r="F79" i="1"/>
  <c r="D80" i="1"/>
  <c r="D81" i="1"/>
  <c r="F81" i="1"/>
  <c r="F82" i="1"/>
  <c r="C103" i="1" l="1"/>
  <c r="C104" i="1"/>
  <c r="D105" i="1"/>
  <c r="AT105" i="1" s="1"/>
  <c r="AY76" i="1"/>
  <c r="AV76" i="1"/>
  <c r="AU76" i="1"/>
  <c r="E94" i="1"/>
  <c r="AS94" i="1" s="1"/>
  <c r="AW94" i="1"/>
  <c r="AX94" i="1"/>
  <c r="AY94" i="1"/>
  <c r="AR94" i="1"/>
  <c r="AU94" i="1"/>
  <c r="AV94" i="1"/>
  <c r="AT94" i="1"/>
  <c r="E93" i="1"/>
  <c r="AS93" i="1" s="1"/>
  <c r="AX93" i="1"/>
  <c r="AU93" i="1"/>
  <c r="AW93" i="1"/>
  <c r="AT93" i="1"/>
  <c r="AR93" i="1"/>
  <c r="AY93" i="1"/>
  <c r="AV93" i="1"/>
  <c r="AW78" i="1"/>
  <c r="AT89" i="1"/>
  <c r="AV89" i="1"/>
  <c r="AW89" i="1"/>
  <c r="AY89" i="1"/>
  <c r="AU89" i="1"/>
  <c r="AX89" i="1"/>
  <c r="AR89" i="1"/>
  <c r="AU88" i="1"/>
  <c r="AX88" i="1"/>
  <c r="AT88" i="1"/>
  <c r="AV88" i="1"/>
  <c r="AY88" i="1"/>
  <c r="AW88" i="1"/>
  <c r="AR88" i="1"/>
  <c r="E102" i="1"/>
  <c r="AS102" i="1" s="1"/>
  <c r="AT102" i="1"/>
  <c r="AR102" i="1"/>
  <c r="AU102" i="1"/>
  <c r="AV102" i="1"/>
  <c r="AX102" i="1"/>
  <c r="AY102" i="1"/>
  <c r="AW102" i="1"/>
  <c r="AT101" i="1"/>
  <c r="AV101" i="1"/>
  <c r="AW101" i="1"/>
  <c r="AU101" i="1"/>
  <c r="AR101" i="1"/>
  <c r="AX101" i="1"/>
  <c r="AY101" i="1"/>
  <c r="E96" i="1"/>
  <c r="AS96" i="1" s="1"/>
  <c r="AW96" i="1"/>
  <c r="AR96" i="1"/>
  <c r="AT96" i="1"/>
  <c r="AX96" i="1"/>
  <c r="AU96" i="1"/>
  <c r="AY96" i="1"/>
  <c r="AV96" i="1"/>
  <c r="AT95" i="1"/>
  <c r="AR95" i="1"/>
  <c r="AY95" i="1"/>
  <c r="AU95" i="1"/>
  <c r="AW95" i="1"/>
  <c r="AX95" i="1"/>
  <c r="AV95" i="1"/>
  <c r="E100" i="1"/>
  <c r="AS100" i="1" s="1"/>
  <c r="AT100" i="1"/>
  <c r="AV100" i="1"/>
  <c r="AX100" i="1"/>
  <c r="AR100" i="1"/>
  <c r="AW100" i="1"/>
  <c r="AU100" i="1"/>
  <c r="AY100" i="1"/>
  <c r="AT99" i="1"/>
  <c r="AR99" i="1"/>
  <c r="AU99" i="1"/>
  <c r="AW99" i="1"/>
  <c r="AV99" i="1"/>
  <c r="AX99" i="1"/>
  <c r="AY99" i="1"/>
  <c r="E105" i="1"/>
  <c r="AS105" i="1" s="1"/>
  <c r="E98" i="1"/>
  <c r="AS98" i="1" s="1"/>
  <c r="AT98" i="1"/>
  <c r="AR98" i="1"/>
  <c r="AX98" i="1"/>
  <c r="AU98" i="1"/>
  <c r="AV98" i="1"/>
  <c r="AW98" i="1"/>
  <c r="AY98" i="1"/>
  <c r="E97" i="1"/>
  <c r="AS97" i="1" s="1"/>
  <c r="AT97" i="1"/>
  <c r="AU97" i="1"/>
  <c r="AX97" i="1"/>
  <c r="AV97" i="1"/>
  <c r="AY97" i="1"/>
  <c r="AR97" i="1"/>
  <c r="AW97" i="1"/>
  <c r="AT76" i="1"/>
  <c r="AU92" i="1"/>
  <c r="AX92" i="1"/>
  <c r="AW92" i="1"/>
  <c r="AT92" i="1"/>
  <c r="AV92" i="1"/>
  <c r="AY92" i="1"/>
  <c r="AR92" i="1"/>
  <c r="AV78" i="1"/>
  <c r="AY91" i="1"/>
  <c r="AT91" i="1"/>
  <c r="AU91" i="1"/>
  <c r="AW91" i="1"/>
  <c r="AV91" i="1"/>
  <c r="AR91" i="1"/>
  <c r="AX91" i="1"/>
  <c r="AU90" i="1"/>
  <c r="AV90" i="1"/>
  <c r="AX90" i="1"/>
  <c r="AY90" i="1"/>
  <c r="AW90" i="1"/>
  <c r="AT90" i="1"/>
  <c r="AR90" i="1"/>
  <c r="AR78" i="1"/>
  <c r="D107" i="1"/>
  <c r="C107" i="1"/>
  <c r="B109" i="1"/>
  <c r="D106" i="1"/>
  <c r="C106" i="1"/>
  <c r="D108" i="1"/>
  <c r="E79" i="1"/>
  <c r="AS79" i="1" s="1"/>
  <c r="AR79" i="1"/>
  <c r="AW79" i="1"/>
  <c r="AV79" i="1"/>
  <c r="AY79" i="1"/>
  <c r="AT79" i="1"/>
  <c r="AU79" i="1"/>
  <c r="AX79" i="1"/>
  <c r="E89" i="1"/>
  <c r="AS89" i="1" s="1"/>
  <c r="AW85" i="1"/>
  <c r="AR85" i="1"/>
  <c r="AV85" i="1"/>
  <c r="AX85" i="1"/>
  <c r="AU85" i="1"/>
  <c r="AT85" i="1"/>
  <c r="AY85" i="1"/>
  <c r="AY77" i="1"/>
  <c r="AU77" i="1"/>
  <c r="D104" i="1"/>
  <c r="AW84" i="1"/>
  <c r="AY84" i="1"/>
  <c r="AR84" i="1"/>
  <c r="AT84" i="1"/>
  <c r="AX84" i="1"/>
  <c r="AU84" i="1"/>
  <c r="AV84" i="1"/>
  <c r="AX77" i="1"/>
  <c r="AT77" i="1"/>
  <c r="E80" i="1"/>
  <c r="AS80" i="1" s="1"/>
  <c r="AR80" i="1"/>
  <c r="AV80" i="1"/>
  <c r="AX80" i="1"/>
  <c r="AY80" i="1"/>
  <c r="AW80" i="1"/>
  <c r="AT80" i="1"/>
  <c r="AU80" i="1"/>
  <c r="C105" i="1"/>
  <c r="D103" i="1"/>
  <c r="AV87" i="1"/>
  <c r="AW87" i="1"/>
  <c r="AX87" i="1"/>
  <c r="AU87" i="1"/>
  <c r="AT87" i="1"/>
  <c r="AY87" i="1"/>
  <c r="AR87" i="1"/>
  <c r="AU83" i="1"/>
  <c r="AY83" i="1"/>
  <c r="AT83" i="1"/>
  <c r="AV83" i="1"/>
  <c r="AW83" i="1"/>
  <c r="AR83" i="1"/>
  <c r="AX83" i="1"/>
  <c r="AX76" i="1"/>
  <c r="AY78" i="1"/>
  <c r="AU78" i="1"/>
  <c r="AW77" i="1"/>
  <c r="AR76" i="1"/>
  <c r="E81" i="1"/>
  <c r="AS81" i="1" s="1"/>
  <c r="AR81" i="1"/>
  <c r="AT81" i="1"/>
  <c r="AX81" i="1"/>
  <c r="AU81" i="1"/>
  <c r="AY81" i="1"/>
  <c r="AV81" i="1"/>
  <c r="AW81" i="1"/>
  <c r="E86" i="1"/>
  <c r="AS86" i="1" s="1"/>
  <c r="AT86" i="1"/>
  <c r="AX86" i="1"/>
  <c r="AV86" i="1"/>
  <c r="AU86" i="1"/>
  <c r="AW86" i="1"/>
  <c r="AY86" i="1"/>
  <c r="AR86" i="1"/>
  <c r="E82" i="1"/>
  <c r="AS82" i="1" s="1"/>
  <c r="AV82" i="1"/>
  <c r="AT82" i="1"/>
  <c r="AU82" i="1"/>
  <c r="AW82" i="1"/>
  <c r="AX82" i="1"/>
  <c r="AR82" i="1"/>
  <c r="AY82" i="1"/>
  <c r="AW76" i="1"/>
  <c r="AX78" i="1"/>
  <c r="AT78" i="1"/>
  <c r="AV77" i="1"/>
  <c r="AR77" i="1"/>
  <c r="B111" i="1"/>
  <c r="B114" i="1" s="1"/>
  <c r="B117" i="1" s="1"/>
  <c r="B120" i="1" s="1"/>
  <c r="B123" i="1" s="1"/>
  <c r="B126" i="1" s="1"/>
  <c r="B129" i="1" s="1"/>
  <c r="B132" i="1" s="1"/>
  <c r="B135" i="1" s="1"/>
  <c r="B138" i="1" s="1"/>
  <c r="B141" i="1" s="1"/>
  <c r="B144" i="1" s="1"/>
  <c r="B147" i="1" s="1"/>
  <c r="B150" i="1" s="1"/>
  <c r="B153" i="1" s="1"/>
  <c r="B156" i="1" s="1"/>
  <c r="B159" i="1" s="1"/>
  <c r="B162" i="1" s="1"/>
  <c r="B165" i="1" s="1"/>
  <c r="B168" i="1" s="1"/>
  <c r="B171" i="1" s="1"/>
  <c r="C171" i="1" s="1"/>
  <c r="C108" i="1"/>
  <c r="B110" i="1"/>
  <c r="AW105" i="1" l="1"/>
  <c r="AV105" i="1"/>
  <c r="AR105" i="1"/>
  <c r="AY105" i="1"/>
  <c r="AX105" i="1"/>
  <c r="AU105" i="1"/>
  <c r="E106" i="1"/>
  <c r="AS106" i="1" s="1"/>
  <c r="AW106" i="1"/>
  <c r="AT106" i="1"/>
  <c r="AX106" i="1"/>
  <c r="AY106" i="1"/>
  <c r="AV106" i="1"/>
  <c r="AR106" i="1"/>
  <c r="AU106" i="1"/>
  <c r="E107" i="1"/>
  <c r="AS107" i="1" s="1"/>
  <c r="AR107" i="1"/>
  <c r="AW107" i="1"/>
  <c r="AT107" i="1"/>
  <c r="AV107" i="1"/>
  <c r="AX107" i="1"/>
  <c r="AU107" i="1"/>
  <c r="AY107" i="1"/>
  <c r="E104" i="1"/>
  <c r="AS104" i="1" s="1"/>
  <c r="AT104" i="1"/>
  <c r="AV104" i="1"/>
  <c r="AR104" i="1"/>
  <c r="AX104" i="1"/>
  <c r="AU104" i="1"/>
  <c r="AW104" i="1"/>
  <c r="AY104" i="1"/>
  <c r="E103" i="1"/>
  <c r="AS103" i="1" s="1"/>
  <c r="AT103" i="1"/>
  <c r="AV103" i="1"/>
  <c r="AY103" i="1"/>
  <c r="AR103" i="1"/>
  <c r="AW103" i="1"/>
  <c r="AU103" i="1"/>
  <c r="AX103" i="1"/>
  <c r="E108" i="1"/>
  <c r="AS108" i="1" s="1"/>
  <c r="AT108" i="1"/>
  <c r="AR108" i="1"/>
  <c r="AU108" i="1"/>
  <c r="AX108" i="1"/>
  <c r="AW108" i="1"/>
  <c r="AY108" i="1"/>
  <c r="AV108" i="1"/>
  <c r="D111" i="1"/>
  <c r="E111" i="1" s="1"/>
  <c r="AS111" i="1" s="1"/>
  <c r="B112" i="1"/>
  <c r="C112" i="1" s="1"/>
  <c r="D109" i="1"/>
  <c r="D110" i="1"/>
  <c r="B113" i="1"/>
  <c r="B174" i="1"/>
  <c r="C174" i="1" s="1"/>
  <c r="C109" i="1"/>
  <c r="C111" i="1"/>
  <c r="C110" i="1"/>
  <c r="E109" i="1" l="1"/>
  <c r="AS109" i="1" s="1"/>
  <c r="AT109" i="1"/>
  <c r="AR109" i="1"/>
  <c r="AU109" i="1"/>
  <c r="AX109" i="1"/>
  <c r="AW109" i="1"/>
  <c r="AV109" i="1"/>
  <c r="AY109" i="1"/>
  <c r="E110" i="1"/>
  <c r="AS110" i="1" s="1"/>
  <c r="AT110" i="1"/>
  <c r="AV110" i="1"/>
  <c r="AR110" i="1"/>
  <c r="AW110" i="1"/>
  <c r="AY110" i="1"/>
  <c r="AU110" i="1"/>
  <c r="AX110" i="1"/>
  <c r="B177" i="1"/>
  <c r="B180" i="1" s="1"/>
  <c r="AT111" i="1"/>
  <c r="AR111" i="1"/>
  <c r="AU111" i="1"/>
  <c r="AV111" i="1"/>
  <c r="AY111" i="1"/>
  <c r="AW111" i="1"/>
  <c r="AX111" i="1"/>
  <c r="D114" i="1"/>
  <c r="B115" i="1"/>
  <c r="C115" i="1" s="1"/>
  <c r="D112" i="1"/>
  <c r="B116" i="1"/>
  <c r="D113" i="1"/>
  <c r="C114" i="1"/>
  <c r="C113" i="1"/>
  <c r="F58" i="1"/>
  <c r="F60" i="1"/>
  <c r="F62" i="1"/>
  <c r="F64" i="1"/>
  <c r="F68" i="1"/>
  <c r="F71" i="1"/>
  <c r="F72" i="1"/>
  <c r="F74" i="1"/>
  <c r="F75" i="1"/>
  <c r="F51" i="1"/>
  <c r="F52" i="1"/>
  <c r="F53" i="1"/>
  <c r="F56" i="1"/>
  <c r="C177" i="1" l="1"/>
  <c r="AT113" i="1"/>
  <c r="AR113" i="1"/>
  <c r="AW113" i="1"/>
  <c r="AY113" i="1"/>
  <c r="AU113" i="1"/>
  <c r="AX113" i="1"/>
  <c r="AV113" i="1"/>
  <c r="E112" i="1"/>
  <c r="AS112" i="1" s="1"/>
  <c r="AR112" i="1"/>
  <c r="AV112" i="1"/>
  <c r="AW112" i="1"/>
  <c r="AU112" i="1"/>
  <c r="AX112" i="1"/>
  <c r="AY112" i="1"/>
  <c r="AT112" i="1"/>
  <c r="AV114" i="1"/>
  <c r="AW114" i="1"/>
  <c r="AY114" i="1"/>
  <c r="AR114" i="1"/>
  <c r="AT114" i="1"/>
  <c r="AX114" i="1"/>
  <c r="AU114" i="1"/>
  <c r="E113" i="1"/>
  <c r="AS113" i="1" s="1"/>
  <c r="E114" i="1"/>
  <c r="AS114" i="1" s="1"/>
  <c r="B118" i="1"/>
  <c r="C118" i="1" s="1"/>
  <c r="D115" i="1"/>
  <c r="D117" i="1"/>
  <c r="B119" i="1"/>
  <c r="D116" i="1"/>
  <c r="E116" i="1" s="1"/>
  <c r="AS116" i="1" s="1"/>
  <c r="B183" i="1"/>
  <c r="B186" i="1" s="1"/>
  <c r="C180" i="1"/>
  <c r="C116" i="1"/>
  <c r="C117" i="1"/>
  <c r="E117" i="1" l="1"/>
  <c r="AS117" i="1" s="1"/>
  <c r="AV117" i="1"/>
  <c r="AR117" i="1"/>
  <c r="AU117" i="1"/>
  <c r="AX117" i="1"/>
  <c r="AT117" i="1"/>
  <c r="AW117" i="1"/>
  <c r="AY117" i="1"/>
  <c r="AT116" i="1"/>
  <c r="AU116" i="1"/>
  <c r="AX116" i="1"/>
  <c r="AV116" i="1"/>
  <c r="AW116" i="1"/>
  <c r="AR116" i="1"/>
  <c r="AY116" i="1"/>
  <c r="E115" i="1"/>
  <c r="AS115" i="1" s="1"/>
  <c r="AY115" i="1"/>
  <c r="AV115" i="1"/>
  <c r="AX115" i="1"/>
  <c r="AT115" i="1"/>
  <c r="AR115" i="1"/>
  <c r="AU115" i="1"/>
  <c r="AW115" i="1"/>
  <c r="B122" i="1"/>
  <c r="D119" i="1"/>
  <c r="C186" i="1"/>
  <c r="B189" i="1"/>
  <c r="B121" i="1"/>
  <c r="C121" i="1" s="1"/>
  <c r="D118" i="1"/>
  <c r="D120" i="1"/>
  <c r="C183" i="1"/>
  <c r="C120" i="1"/>
  <c r="C119" i="1"/>
  <c r="F14" i="1"/>
  <c r="F16" i="1"/>
  <c r="F18" i="1"/>
  <c r="F20" i="1"/>
  <c r="F21" i="1"/>
  <c r="F23" i="1"/>
  <c r="F24" i="1"/>
  <c r="F27" i="1"/>
  <c r="F28" i="1"/>
  <c r="F30" i="1"/>
  <c r="F31" i="1"/>
  <c r="F33" i="1"/>
  <c r="F34" i="1"/>
  <c r="F3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5" i="1"/>
  <c r="C6" i="1"/>
  <c r="C7" i="1"/>
  <c r="C8" i="1"/>
  <c r="C9" i="1"/>
  <c r="C10" i="1"/>
  <c r="C11" i="1"/>
  <c r="C12" i="1"/>
  <c r="C13" i="1"/>
  <c r="C14" i="1"/>
  <c r="C15" i="1"/>
  <c r="C16" i="1"/>
  <c r="C4" i="1"/>
  <c r="AR38" i="1"/>
  <c r="AT38" i="1"/>
  <c r="AU38" i="1"/>
  <c r="AV38" i="1"/>
  <c r="AW38" i="1"/>
  <c r="AX38" i="1"/>
  <c r="AY38" i="1"/>
  <c r="AR39" i="1"/>
  <c r="AT39" i="1"/>
  <c r="AU39" i="1"/>
  <c r="AV39" i="1"/>
  <c r="AW39" i="1"/>
  <c r="AX39" i="1"/>
  <c r="AY39" i="1"/>
  <c r="AV37" i="1"/>
  <c r="AW37" i="1"/>
  <c r="AX37" i="1"/>
  <c r="AY37" i="1"/>
  <c r="AU37" i="1"/>
  <c r="AT37" i="1"/>
  <c r="AR37" i="1"/>
  <c r="E120" i="1" l="1"/>
  <c r="AS120" i="1" s="1"/>
  <c r="AT120" i="1"/>
  <c r="AR120" i="1"/>
  <c r="AY120" i="1"/>
  <c r="AW120" i="1"/>
  <c r="AU120" i="1"/>
  <c r="AX120" i="1"/>
  <c r="AV120" i="1"/>
  <c r="E118" i="1"/>
  <c r="AS118" i="1" s="1"/>
  <c r="AU118" i="1"/>
  <c r="AV118" i="1"/>
  <c r="AW118" i="1"/>
  <c r="AX118" i="1"/>
  <c r="AR118" i="1"/>
  <c r="AY118" i="1"/>
  <c r="AT118" i="1"/>
  <c r="AR119" i="1"/>
  <c r="AT119" i="1"/>
  <c r="AU119" i="1"/>
  <c r="AW119" i="1"/>
  <c r="AY119" i="1"/>
  <c r="AX119" i="1"/>
  <c r="AV119" i="1"/>
  <c r="E119" i="1"/>
  <c r="AS119" i="1" s="1"/>
  <c r="C189" i="1"/>
  <c r="B192" i="1"/>
  <c r="B124" i="1"/>
  <c r="C124" i="1" s="1"/>
  <c r="D123" i="1"/>
  <c r="D121" i="1"/>
  <c r="B125" i="1"/>
  <c r="D122" i="1"/>
  <c r="C122" i="1"/>
  <c r="C123" i="1"/>
  <c r="F39" i="1"/>
  <c r="F41" i="1"/>
  <c r="F42" i="1"/>
  <c r="F45" i="1"/>
  <c r="F47" i="1"/>
  <c r="F37" i="1"/>
  <c r="D46" i="1"/>
  <c r="D47" i="1"/>
  <c r="D48" i="1"/>
  <c r="D49" i="1"/>
  <c r="E49" i="1" s="1"/>
  <c r="AS49" i="1" s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43" i="1"/>
  <c r="D44" i="1"/>
  <c r="D45" i="1"/>
  <c r="E122" i="1" l="1"/>
  <c r="AS122" i="1" s="1"/>
  <c r="AT122" i="1"/>
  <c r="AR122" i="1"/>
  <c r="AU122" i="1"/>
  <c r="AV122" i="1"/>
  <c r="AX122" i="1"/>
  <c r="AW122" i="1"/>
  <c r="AY122" i="1"/>
  <c r="E121" i="1"/>
  <c r="AS121" i="1" s="1"/>
  <c r="AU121" i="1"/>
  <c r="AV121" i="1"/>
  <c r="AT121" i="1"/>
  <c r="AW121" i="1"/>
  <c r="AY121" i="1"/>
  <c r="AX121" i="1"/>
  <c r="AR121" i="1"/>
  <c r="E123" i="1"/>
  <c r="AS123" i="1" s="1"/>
  <c r="AY123" i="1"/>
  <c r="AW123" i="1"/>
  <c r="AX123" i="1"/>
  <c r="AR123" i="1"/>
  <c r="AT123" i="1"/>
  <c r="AU123" i="1"/>
  <c r="AV123" i="1"/>
  <c r="AW74" i="1"/>
  <c r="AU74" i="1"/>
  <c r="AY74" i="1"/>
  <c r="AT74" i="1"/>
  <c r="AX74" i="1"/>
  <c r="AR74" i="1"/>
  <c r="AV74" i="1"/>
  <c r="AW66" i="1"/>
  <c r="AU66" i="1"/>
  <c r="AT66" i="1"/>
  <c r="AX66" i="1"/>
  <c r="AY66" i="1"/>
  <c r="AR66" i="1"/>
  <c r="AV66" i="1"/>
  <c r="AV58" i="1"/>
  <c r="AR58" i="1"/>
  <c r="AY58" i="1"/>
  <c r="AX58" i="1"/>
  <c r="AT58" i="1"/>
  <c r="AW58" i="1"/>
  <c r="AU58" i="1"/>
  <c r="AX73" i="1"/>
  <c r="AT73" i="1"/>
  <c r="AR73" i="1"/>
  <c r="AW73" i="1"/>
  <c r="AV73" i="1"/>
  <c r="AY73" i="1"/>
  <c r="AU73" i="1"/>
  <c r="AW69" i="1"/>
  <c r="AU69" i="1"/>
  <c r="AT69" i="1"/>
  <c r="AX69" i="1"/>
  <c r="AY69" i="1"/>
  <c r="AR69" i="1"/>
  <c r="AV69" i="1"/>
  <c r="AW65" i="1"/>
  <c r="AU65" i="1"/>
  <c r="AT65" i="1"/>
  <c r="AX65" i="1"/>
  <c r="AY65" i="1"/>
  <c r="AR65" i="1"/>
  <c r="AV65" i="1"/>
  <c r="AX61" i="1"/>
  <c r="AT61" i="1"/>
  <c r="AR61" i="1"/>
  <c r="AW61" i="1"/>
  <c r="AV61" i="1"/>
  <c r="AY61" i="1"/>
  <c r="AU61" i="1"/>
  <c r="B127" i="1"/>
  <c r="C127" i="1" s="1"/>
  <c r="D126" i="1"/>
  <c r="E126" i="1" s="1"/>
  <c r="AS126" i="1" s="1"/>
  <c r="D124" i="1"/>
  <c r="AW72" i="1"/>
  <c r="AY72" i="1"/>
  <c r="AT72" i="1"/>
  <c r="AX72" i="1"/>
  <c r="AU72" i="1"/>
  <c r="AR72" i="1"/>
  <c r="AV72" i="1"/>
  <c r="AX64" i="1"/>
  <c r="AT64" i="1"/>
  <c r="AV64" i="1"/>
  <c r="AW64" i="1"/>
  <c r="AR64" i="1"/>
  <c r="AY64" i="1"/>
  <c r="AU64" i="1"/>
  <c r="B128" i="1"/>
  <c r="D125" i="1"/>
  <c r="C192" i="1"/>
  <c r="B195" i="1"/>
  <c r="AX70" i="1"/>
  <c r="AT70" i="1"/>
  <c r="AV70" i="1"/>
  <c r="AW70" i="1"/>
  <c r="AR70" i="1"/>
  <c r="AY70" i="1"/>
  <c r="AU70" i="1"/>
  <c r="AW62" i="1"/>
  <c r="AU62" i="1"/>
  <c r="AT62" i="1"/>
  <c r="AX62" i="1"/>
  <c r="AY62" i="1"/>
  <c r="AR62" i="1"/>
  <c r="AV62" i="1"/>
  <c r="AW68" i="1"/>
  <c r="AU68" i="1"/>
  <c r="AT68" i="1"/>
  <c r="AX68" i="1"/>
  <c r="AY68" i="1"/>
  <c r="AR68" i="1"/>
  <c r="AV68" i="1"/>
  <c r="AU60" i="1"/>
  <c r="AY60" i="1"/>
  <c r="AR60" i="1"/>
  <c r="AW60" i="1"/>
  <c r="AX60" i="1"/>
  <c r="AV60" i="1"/>
  <c r="AT60" i="1"/>
  <c r="AT75" i="1"/>
  <c r="AX75" i="1"/>
  <c r="AU75" i="1"/>
  <c r="AY75" i="1"/>
  <c r="AR75" i="1"/>
  <c r="AV75" i="1"/>
  <c r="AW75" i="1"/>
  <c r="AW71" i="1"/>
  <c r="AY71" i="1"/>
  <c r="AT71" i="1"/>
  <c r="AX71" i="1"/>
  <c r="AU71" i="1"/>
  <c r="AR71" i="1"/>
  <c r="AV71" i="1"/>
  <c r="AX67" i="1"/>
  <c r="AT67" i="1"/>
  <c r="AV67" i="1"/>
  <c r="AW67" i="1"/>
  <c r="AR67" i="1"/>
  <c r="AY67" i="1"/>
  <c r="AU67" i="1"/>
  <c r="AW63" i="1"/>
  <c r="AY63" i="1"/>
  <c r="AT63" i="1"/>
  <c r="AX63" i="1"/>
  <c r="AU63" i="1"/>
  <c r="AR63" i="1"/>
  <c r="AV63" i="1"/>
  <c r="AU59" i="1"/>
  <c r="AY59" i="1"/>
  <c r="AW59" i="1"/>
  <c r="AX59" i="1"/>
  <c r="AR59" i="1"/>
  <c r="AV59" i="1"/>
  <c r="AT59" i="1"/>
  <c r="C125" i="1"/>
  <c r="C126" i="1"/>
  <c r="AR55" i="1"/>
  <c r="AV43" i="1"/>
  <c r="AT43" i="1"/>
  <c r="AY43" i="1"/>
  <c r="AW43" i="1"/>
  <c r="AU43" i="1"/>
  <c r="AX43" i="1"/>
  <c r="AR43" i="1"/>
  <c r="AW45" i="1"/>
  <c r="AR45" i="1"/>
  <c r="AT45" i="1"/>
  <c r="AX45" i="1"/>
  <c r="AU45" i="1"/>
  <c r="AY45" i="1"/>
  <c r="AV45" i="1"/>
  <c r="AY54" i="1"/>
  <c r="AU54" i="1"/>
  <c r="AX54" i="1"/>
  <c r="AT54" i="1"/>
  <c r="AV54" i="1"/>
  <c r="AR54" i="1"/>
  <c r="AW54" i="1"/>
  <c r="AW50" i="1"/>
  <c r="AU50" i="1"/>
  <c r="AX50" i="1"/>
  <c r="AV50" i="1"/>
  <c r="AR50" i="1"/>
  <c r="AY50" i="1"/>
  <c r="AT50" i="1"/>
  <c r="AV46" i="1"/>
  <c r="AT46" i="1"/>
  <c r="AW46" i="1"/>
  <c r="AU46" i="1"/>
  <c r="AX46" i="1"/>
  <c r="AR46" i="1"/>
  <c r="AY46" i="1"/>
  <c r="E72" i="1"/>
  <c r="AS72" i="1" s="1"/>
  <c r="E68" i="1"/>
  <c r="AS68" i="1" s="1"/>
  <c r="E64" i="1"/>
  <c r="AS64" i="1" s="1"/>
  <c r="E60" i="1"/>
  <c r="AS60" i="1" s="1"/>
  <c r="E56" i="1"/>
  <c r="AS56" i="1" s="1"/>
  <c r="AY57" i="1"/>
  <c r="AU57" i="1"/>
  <c r="AX57" i="1"/>
  <c r="AT57" i="1"/>
  <c r="AV57" i="1"/>
  <c r="AW57" i="1"/>
  <c r="AR57" i="1"/>
  <c r="AW53" i="1"/>
  <c r="AV53" i="1"/>
  <c r="AR53" i="1"/>
  <c r="AT53" i="1"/>
  <c r="AY53" i="1"/>
  <c r="AU53" i="1"/>
  <c r="AX53" i="1"/>
  <c r="AY49" i="1"/>
  <c r="AU49" i="1"/>
  <c r="AX49" i="1"/>
  <c r="AT49" i="1"/>
  <c r="AW49" i="1"/>
  <c r="AV49" i="1"/>
  <c r="AR49" i="1"/>
  <c r="E75" i="1"/>
  <c r="AS75" i="1" s="1"/>
  <c r="E71" i="1"/>
  <c r="AS71" i="1" s="1"/>
  <c r="E67" i="1"/>
  <c r="AS67" i="1" s="1"/>
  <c r="E63" i="1"/>
  <c r="AS63" i="1" s="1"/>
  <c r="E59" i="1"/>
  <c r="AS59" i="1" s="1"/>
  <c r="E55" i="1"/>
  <c r="AS55" i="1" s="1"/>
  <c r="E43" i="1"/>
  <c r="AS43" i="1" s="1"/>
  <c r="AY52" i="1"/>
  <c r="AU52" i="1"/>
  <c r="AX52" i="1"/>
  <c r="AT52" i="1"/>
  <c r="AW52" i="1"/>
  <c r="AV52" i="1"/>
  <c r="AR52" i="1"/>
  <c r="AW48" i="1"/>
  <c r="AV48" i="1"/>
  <c r="AT48" i="1"/>
  <c r="AX48" i="1"/>
  <c r="AR48" i="1"/>
  <c r="AU48" i="1"/>
  <c r="AY48" i="1"/>
  <c r="E74" i="1"/>
  <c r="AS74" i="1" s="1"/>
  <c r="E70" i="1"/>
  <c r="AS70" i="1" s="1"/>
  <c r="E66" i="1"/>
  <c r="AS66" i="1" s="1"/>
  <c r="E62" i="1"/>
  <c r="AS62" i="1" s="1"/>
  <c r="E58" i="1"/>
  <c r="AS58" i="1" s="1"/>
  <c r="E54" i="1"/>
  <c r="AS54" i="1" s="1"/>
  <c r="AU44" i="1"/>
  <c r="AY44" i="1"/>
  <c r="AR44" i="1"/>
  <c r="AX44" i="1"/>
  <c r="AV44" i="1"/>
  <c r="AT44" i="1"/>
  <c r="AW44" i="1"/>
  <c r="AY56" i="1"/>
  <c r="AU56" i="1"/>
  <c r="AR56" i="1"/>
  <c r="AX56" i="1"/>
  <c r="AT56" i="1"/>
  <c r="AV56" i="1"/>
  <c r="AW56" i="1"/>
  <c r="AY55" i="1"/>
  <c r="AU55" i="1"/>
  <c r="AW55" i="1"/>
  <c r="AX55" i="1"/>
  <c r="AT55" i="1"/>
  <c r="AV55" i="1"/>
  <c r="AY51" i="1"/>
  <c r="AU51" i="1"/>
  <c r="AW51" i="1"/>
  <c r="AR51" i="1"/>
  <c r="AX51" i="1"/>
  <c r="AT51" i="1"/>
  <c r="AV51" i="1"/>
  <c r="AW47" i="1"/>
  <c r="AV47" i="1"/>
  <c r="AT47" i="1"/>
  <c r="AX47" i="1"/>
  <c r="AR47" i="1"/>
  <c r="AU47" i="1"/>
  <c r="AY47" i="1"/>
  <c r="E73" i="1"/>
  <c r="AS73" i="1" s="1"/>
  <c r="E69" i="1"/>
  <c r="AS69" i="1" s="1"/>
  <c r="E65" i="1"/>
  <c r="AS65" i="1" s="1"/>
  <c r="E61" i="1"/>
  <c r="AS61" i="1" s="1"/>
  <c r="E57" i="1"/>
  <c r="AS57" i="1" s="1"/>
  <c r="E53" i="1"/>
  <c r="AS53" i="1" s="1"/>
  <c r="E52" i="1"/>
  <c r="AS52" i="1" s="1"/>
  <c r="E50" i="1"/>
  <c r="AS50" i="1" s="1"/>
  <c r="E51" i="1"/>
  <c r="AS51" i="1" s="1"/>
  <c r="E47" i="1"/>
  <c r="AS47" i="1" s="1"/>
  <c r="E46" i="1"/>
  <c r="AS46" i="1" s="1"/>
  <c r="E48" i="1"/>
  <c r="AS48" i="1" s="1"/>
  <c r="E44" i="1"/>
  <c r="AS44" i="1" s="1"/>
  <c r="E45" i="1"/>
  <c r="AS45" i="1" s="1"/>
  <c r="E23" i="1"/>
  <c r="D41" i="1"/>
  <c r="D42" i="1"/>
  <c r="D40" i="1"/>
  <c r="E125" i="1" l="1"/>
  <c r="AS125" i="1" s="1"/>
  <c r="AX125" i="1"/>
  <c r="AY125" i="1"/>
  <c r="AT125" i="1"/>
  <c r="AU125" i="1"/>
  <c r="AV125" i="1"/>
  <c r="AR125" i="1"/>
  <c r="AW125" i="1"/>
  <c r="E124" i="1"/>
  <c r="AS124" i="1" s="1"/>
  <c r="AR124" i="1"/>
  <c r="AU124" i="1"/>
  <c r="AW124" i="1"/>
  <c r="AV124" i="1"/>
  <c r="AT124" i="1"/>
  <c r="AY124" i="1"/>
  <c r="AX124" i="1"/>
  <c r="AU126" i="1"/>
  <c r="AV126" i="1"/>
  <c r="AW126" i="1"/>
  <c r="AY126" i="1"/>
  <c r="AR126" i="1"/>
  <c r="AX126" i="1"/>
  <c r="AT126" i="1"/>
  <c r="B131" i="1"/>
  <c r="D128" i="1"/>
  <c r="C195" i="1"/>
  <c r="B198" i="1"/>
  <c r="B130" i="1"/>
  <c r="C130" i="1" s="1"/>
  <c r="D127" i="1"/>
  <c r="D129" i="1"/>
  <c r="E129" i="1" s="1"/>
  <c r="AS129" i="1" s="1"/>
  <c r="C129" i="1"/>
  <c r="C128" i="1"/>
  <c r="E41" i="1"/>
  <c r="AS41" i="1" s="1"/>
  <c r="AW41" i="1"/>
  <c r="AT41" i="1"/>
  <c r="AX41" i="1"/>
  <c r="AU41" i="1"/>
  <c r="AY41" i="1"/>
  <c r="AV41" i="1"/>
  <c r="AR41" i="1"/>
  <c r="AX40" i="1"/>
  <c r="AR40" i="1"/>
  <c r="AU40" i="1"/>
  <c r="AY40" i="1"/>
  <c r="AV40" i="1"/>
  <c r="AT40" i="1"/>
  <c r="AW40" i="1"/>
  <c r="E40" i="1"/>
  <c r="AS40" i="1" s="1"/>
  <c r="E42" i="1"/>
  <c r="AS42" i="1" s="1"/>
  <c r="AU42" i="1"/>
  <c r="AY42" i="1"/>
  <c r="AV42" i="1"/>
  <c r="AR42" i="1"/>
  <c r="AX42" i="1"/>
  <c r="AW42" i="1"/>
  <c r="AT42" i="1"/>
  <c r="E39" i="1"/>
  <c r="AS39" i="1" s="1"/>
  <c r="E38" i="1"/>
  <c r="AS38" i="1" s="1"/>
  <c r="E37" i="1"/>
  <c r="AS37" i="1" s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AV129" i="1" l="1"/>
  <c r="AU129" i="1"/>
  <c r="AY129" i="1"/>
  <c r="AX129" i="1"/>
  <c r="AR129" i="1"/>
  <c r="AT129" i="1"/>
  <c r="AW129" i="1"/>
  <c r="E127" i="1"/>
  <c r="AS127" i="1" s="1"/>
  <c r="AV127" i="1"/>
  <c r="AW127" i="1"/>
  <c r="AX127" i="1"/>
  <c r="AT127" i="1"/>
  <c r="AY127" i="1"/>
  <c r="AU127" i="1"/>
  <c r="AR127" i="1"/>
  <c r="E128" i="1"/>
  <c r="AS128" i="1" s="1"/>
  <c r="AU128" i="1"/>
  <c r="AT128" i="1"/>
  <c r="AY128" i="1"/>
  <c r="AW128" i="1"/>
  <c r="AX128" i="1"/>
  <c r="AR128" i="1"/>
  <c r="AV128" i="1"/>
  <c r="C198" i="1"/>
  <c r="B201" i="1"/>
  <c r="B133" i="1"/>
  <c r="C133" i="1" s="1"/>
  <c r="D130" i="1"/>
  <c r="D132" i="1"/>
  <c r="E132" i="1" s="1"/>
  <c r="AS132" i="1" s="1"/>
  <c r="B134" i="1"/>
  <c r="D131" i="1"/>
  <c r="C131" i="1"/>
  <c r="C132" i="1"/>
  <c r="F59" i="1"/>
  <c r="E131" i="1" l="1"/>
  <c r="AS131" i="1" s="1"/>
  <c r="AT131" i="1"/>
  <c r="AU131" i="1"/>
  <c r="AY131" i="1"/>
  <c r="AR131" i="1"/>
  <c r="AX131" i="1"/>
  <c r="AV131" i="1"/>
  <c r="AW131" i="1"/>
  <c r="E130" i="1"/>
  <c r="AS130" i="1" s="1"/>
  <c r="AU130" i="1"/>
  <c r="AR130" i="1"/>
  <c r="AV130" i="1"/>
  <c r="AT130" i="1"/>
  <c r="AW130" i="1"/>
  <c r="AX130" i="1"/>
  <c r="AY130" i="1"/>
  <c r="AW132" i="1"/>
  <c r="AY132" i="1"/>
  <c r="AT132" i="1"/>
  <c r="AR132" i="1"/>
  <c r="AU132" i="1"/>
  <c r="AV132" i="1"/>
  <c r="AX132" i="1"/>
  <c r="B137" i="1"/>
  <c r="D134" i="1"/>
  <c r="C201" i="1"/>
  <c r="B204" i="1"/>
  <c r="B136" i="1"/>
  <c r="C136" i="1" s="1"/>
  <c r="D135" i="1"/>
  <c r="AR135" i="1" s="1"/>
  <c r="D133" i="1"/>
  <c r="C135" i="1"/>
  <c r="C134" i="1"/>
  <c r="AR133" i="1" l="1"/>
  <c r="E134" i="1"/>
  <c r="AS134" i="1" s="1"/>
  <c r="AR134" i="1"/>
  <c r="E133" i="1"/>
  <c r="AS133" i="1" s="1"/>
  <c r="AU133" i="1"/>
  <c r="AV133" i="1"/>
  <c r="AT133" i="1"/>
  <c r="AW133" i="1"/>
  <c r="AY133" i="1"/>
  <c r="AX133" i="1"/>
  <c r="E135" i="1"/>
  <c r="AS135" i="1" s="1"/>
  <c r="AT135" i="1"/>
  <c r="AU135" i="1"/>
  <c r="AW135" i="1"/>
  <c r="AY135" i="1"/>
  <c r="AV135" i="1"/>
  <c r="AX135" i="1"/>
  <c r="AW134" i="1"/>
  <c r="AT134" i="1"/>
  <c r="AU134" i="1"/>
  <c r="AV134" i="1"/>
  <c r="AX134" i="1"/>
  <c r="AY134" i="1"/>
  <c r="B139" i="1"/>
  <c r="C139" i="1" s="1"/>
  <c r="D138" i="1"/>
  <c r="D136" i="1"/>
  <c r="B140" i="1"/>
  <c r="D137" i="1"/>
  <c r="AR137" i="1" s="1"/>
  <c r="C204" i="1"/>
  <c r="B207" i="1"/>
  <c r="C138" i="1"/>
  <c r="C137" i="1"/>
  <c r="AR136" i="1" l="1"/>
  <c r="E138" i="1"/>
  <c r="AS138" i="1" s="1"/>
  <c r="AR138" i="1"/>
  <c r="AT137" i="1"/>
  <c r="AU137" i="1"/>
  <c r="AV137" i="1"/>
  <c r="AW137" i="1"/>
  <c r="AX137" i="1"/>
  <c r="AY137" i="1"/>
  <c r="E136" i="1"/>
  <c r="AS136" i="1" s="1"/>
  <c r="AW136" i="1"/>
  <c r="AX136" i="1"/>
  <c r="AY136" i="1"/>
  <c r="AU136" i="1"/>
  <c r="AT136" i="1"/>
  <c r="AV136" i="1"/>
  <c r="AX138" i="1"/>
  <c r="AY138" i="1"/>
  <c r="AT138" i="1"/>
  <c r="AU138" i="1"/>
  <c r="AV138" i="1"/>
  <c r="AW138" i="1"/>
  <c r="E137" i="1"/>
  <c r="AS137" i="1" s="1"/>
  <c r="B143" i="1"/>
  <c r="D140" i="1"/>
  <c r="AR140" i="1" s="1"/>
  <c r="C207" i="1"/>
  <c r="B210" i="1"/>
  <c r="B142" i="1"/>
  <c r="C142" i="1" s="1"/>
  <c r="D139" i="1"/>
  <c r="D141" i="1"/>
  <c r="AR141" i="1" s="1"/>
  <c r="C140" i="1"/>
  <c r="C141" i="1"/>
  <c r="AR139" i="1" l="1"/>
  <c r="AT141" i="1"/>
  <c r="AU141" i="1"/>
  <c r="AV141" i="1"/>
  <c r="AX141" i="1"/>
  <c r="AY141" i="1"/>
  <c r="AW141" i="1"/>
  <c r="E141" i="1"/>
  <c r="AS141" i="1" s="1"/>
  <c r="E139" i="1"/>
  <c r="AS139" i="1" s="1"/>
  <c r="AV139" i="1"/>
  <c r="AY139" i="1"/>
  <c r="AU139" i="1"/>
  <c r="AW139" i="1"/>
  <c r="AT139" i="1"/>
  <c r="AX139" i="1"/>
  <c r="E140" i="1"/>
  <c r="AS140" i="1" s="1"/>
  <c r="AU140" i="1"/>
  <c r="AV140" i="1"/>
  <c r="AW140" i="1"/>
  <c r="AX140" i="1"/>
  <c r="AT140" i="1"/>
  <c r="AY140" i="1"/>
  <c r="C210" i="1"/>
  <c r="B213" i="1"/>
  <c r="B145" i="1"/>
  <c r="C145" i="1" s="1"/>
  <c r="D142" i="1"/>
  <c r="D144" i="1"/>
  <c r="B146" i="1"/>
  <c r="D143" i="1"/>
  <c r="C144" i="1"/>
  <c r="C143" i="1"/>
  <c r="AY143" i="1" l="1"/>
  <c r="AT143" i="1"/>
  <c r="AU143" i="1"/>
  <c r="AV143" i="1"/>
  <c r="AR143" i="1"/>
  <c r="AW143" i="1"/>
  <c r="AX143" i="1"/>
  <c r="AT144" i="1"/>
  <c r="AV144" i="1"/>
  <c r="AW144" i="1"/>
  <c r="AX144" i="1"/>
  <c r="AY144" i="1"/>
  <c r="AR144" i="1"/>
  <c r="AU144" i="1"/>
  <c r="AR142" i="1"/>
  <c r="AU142" i="1"/>
  <c r="AV142" i="1"/>
  <c r="AW142" i="1"/>
  <c r="AX142" i="1"/>
  <c r="AY142" i="1"/>
  <c r="AT142" i="1"/>
  <c r="E144" i="1"/>
  <c r="AS144" i="1" s="1"/>
  <c r="E143" i="1"/>
  <c r="AS143" i="1" s="1"/>
  <c r="E142" i="1"/>
  <c r="AS142" i="1" s="1"/>
  <c r="B148" i="1"/>
  <c r="C148" i="1" s="1"/>
  <c r="D147" i="1"/>
  <c r="D145" i="1"/>
  <c r="C213" i="1"/>
  <c r="B216" i="1"/>
  <c r="B149" i="1"/>
  <c r="D146" i="1"/>
  <c r="C146" i="1"/>
  <c r="C147" i="1"/>
  <c r="AT146" i="1" l="1"/>
  <c r="AU146" i="1"/>
  <c r="AV146" i="1"/>
  <c r="AW146" i="1"/>
  <c r="AX146" i="1"/>
  <c r="AY146" i="1"/>
  <c r="AR146" i="1"/>
  <c r="AT147" i="1"/>
  <c r="AR147" i="1"/>
  <c r="AU147" i="1"/>
  <c r="AV147" i="1"/>
  <c r="AW147" i="1"/>
  <c r="AX147" i="1"/>
  <c r="AY147" i="1"/>
  <c r="AV145" i="1"/>
  <c r="AW145" i="1"/>
  <c r="AY145" i="1"/>
  <c r="AT145" i="1"/>
  <c r="AR145" i="1"/>
  <c r="AU145" i="1"/>
  <c r="AX145" i="1"/>
  <c r="E146" i="1"/>
  <c r="AS146" i="1" s="1"/>
  <c r="E145" i="1"/>
  <c r="AS145" i="1" s="1"/>
  <c r="E147" i="1"/>
  <c r="AS147" i="1" s="1"/>
  <c r="B152" i="1"/>
  <c r="D149" i="1"/>
  <c r="B219" i="1"/>
  <c r="C216" i="1"/>
  <c r="D150" i="1"/>
  <c r="D148" i="1"/>
  <c r="B151" i="1"/>
  <c r="C151" i="1" s="1"/>
  <c r="C150" i="1"/>
  <c r="C149" i="1"/>
  <c r="AU148" i="1" l="1"/>
  <c r="AV148" i="1"/>
  <c r="AW148" i="1"/>
  <c r="AX148" i="1"/>
  <c r="AY148" i="1"/>
  <c r="AR148" i="1"/>
  <c r="AT148" i="1"/>
  <c r="AT150" i="1"/>
  <c r="AV150" i="1"/>
  <c r="AW150" i="1"/>
  <c r="AX150" i="1"/>
  <c r="AY150" i="1"/>
  <c r="AR150" i="1"/>
  <c r="AU150" i="1"/>
  <c r="AY149" i="1"/>
  <c r="AT149" i="1"/>
  <c r="AU149" i="1"/>
  <c r="AV149" i="1"/>
  <c r="AR149" i="1"/>
  <c r="AW149" i="1"/>
  <c r="AX149" i="1"/>
  <c r="E148" i="1"/>
  <c r="AS148" i="1" s="1"/>
  <c r="E150" i="1"/>
  <c r="AS150" i="1" s="1"/>
  <c r="E149" i="1"/>
  <c r="AS149" i="1" s="1"/>
  <c r="B154" i="1"/>
  <c r="C154" i="1" s="1"/>
  <c r="D151" i="1"/>
  <c r="D153" i="1"/>
  <c r="C219" i="1"/>
  <c r="B222" i="1"/>
  <c r="D152" i="1"/>
  <c r="B155" i="1"/>
  <c r="C152" i="1"/>
  <c r="C153" i="1"/>
  <c r="AT152" i="1" l="1"/>
  <c r="AU152" i="1"/>
  <c r="AV152" i="1"/>
  <c r="AR152" i="1"/>
  <c r="AW152" i="1"/>
  <c r="AX152" i="1"/>
  <c r="AY152" i="1"/>
  <c r="AV151" i="1"/>
  <c r="AW151" i="1"/>
  <c r="AY151" i="1"/>
  <c r="AT151" i="1"/>
  <c r="AR151" i="1"/>
  <c r="AX151" i="1"/>
  <c r="AU151" i="1"/>
  <c r="AR153" i="1"/>
  <c r="AT153" i="1"/>
  <c r="AU153" i="1"/>
  <c r="AV153" i="1"/>
  <c r="AW153" i="1"/>
  <c r="AX153" i="1"/>
  <c r="AY153" i="1"/>
  <c r="E151" i="1"/>
  <c r="AS151" i="1" s="1"/>
  <c r="E153" i="1"/>
  <c r="AS153" i="1" s="1"/>
  <c r="E152" i="1"/>
  <c r="AS152" i="1" s="1"/>
  <c r="B158" i="1"/>
  <c r="D155" i="1"/>
  <c r="C222" i="1"/>
  <c r="B225" i="1"/>
  <c r="B157" i="1"/>
  <c r="C157" i="1" s="1"/>
  <c r="D154" i="1"/>
  <c r="D156" i="1"/>
  <c r="C156" i="1"/>
  <c r="C155" i="1"/>
  <c r="AY155" i="1" l="1"/>
  <c r="AT155" i="1"/>
  <c r="AU155" i="1"/>
  <c r="AV155" i="1"/>
  <c r="AR155" i="1"/>
  <c r="AW155" i="1"/>
  <c r="AX155" i="1"/>
  <c r="AU154" i="1"/>
  <c r="AV154" i="1"/>
  <c r="AW154" i="1"/>
  <c r="AX154" i="1"/>
  <c r="AY154" i="1"/>
  <c r="AT154" i="1"/>
  <c r="AR154" i="1"/>
  <c r="AT156" i="1"/>
  <c r="AV156" i="1"/>
  <c r="AW156" i="1"/>
  <c r="AX156" i="1"/>
  <c r="AY156" i="1"/>
  <c r="AR156" i="1"/>
  <c r="AU156" i="1"/>
  <c r="E154" i="1"/>
  <c r="AS154" i="1" s="1"/>
  <c r="E156" i="1"/>
  <c r="AS156" i="1" s="1"/>
  <c r="E155" i="1"/>
  <c r="AS155" i="1" s="1"/>
  <c r="C225" i="1"/>
  <c r="B228" i="1"/>
  <c r="B160" i="1"/>
  <c r="C160" i="1" s="1"/>
  <c r="D159" i="1"/>
  <c r="D157" i="1"/>
  <c r="B161" i="1"/>
  <c r="D158" i="1"/>
  <c r="C158" i="1"/>
  <c r="C159" i="1"/>
  <c r="E158" i="1" l="1"/>
  <c r="AS158" i="1" s="1"/>
  <c r="AR158" i="1"/>
  <c r="AU158" i="1"/>
  <c r="AV158" i="1"/>
  <c r="AW158" i="1"/>
  <c r="AX158" i="1"/>
  <c r="AY158" i="1"/>
  <c r="AT158" i="1"/>
  <c r="E159" i="1"/>
  <c r="AS159" i="1" s="1"/>
  <c r="AU159" i="1"/>
  <c r="AW159" i="1"/>
  <c r="AV159" i="1"/>
  <c r="AX159" i="1"/>
  <c r="AY159" i="1"/>
  <c r="AT159" i="1"/>
  <c r="AR159" i="1"/>
  <c r="E157" i="1"/>
  <c r="AS157" i="1" s="1"/>
  <c r="AU157" i="1"/>
  <c r="AV157" i="1"/>
  <c r="AR157" i="1"/>
  <c r="AW157" i="1"/>
  <c r="AX157" i="1"/>
  <c r="AY157" i="1"/>
  <c r="AT157" i="1"/>
  <c r="B163" i="1"/>
  <c r="D162" i="1"/>
  <c r="D160" i="1"/>
  <c r="B164" i="1"/>
  <c r="D161" i="1"/>
  <c r="B231" i="1"/>
  <c r="C228" i="1"/>
  <c r="C163" i="1"/>
  <c r="C162" i="1"/>
  <c r="C161" i="1"/>
  <c r="E162" i="1" l="1"/>
  <c r="AS162" i="1" s="1"/>
  <c r="AX162" i="1"/>
  <c r="AY162" i="1"/>
  <c r="AR162" i="1"/>
  <c r="AT162" i="1"/>
  <c r="AU162" i="1"/>
  <c r="AV162" i="1"/>
  <c r="AW162" i="1"/>
  <c r="E161" i="1"/>
  <c r="AS161" i="1" s="1"/>
  <c r="AR161" i="1"/>
  <c r="AT161" i="1"/>
  <c r="AU161" i="1"/>
  <c r="AV161" i="1"/>
  <c r="AW161" i="1"/>
  <c r="AX161" i="1"/>
  <c r="AY161" i="1"/>
  <c r="E160" i="1"/>
  <c r="AS160" i="1" s="1"/>
  <c r="AV160" i="1"/>
  <c r="AT160" i="1"/>
  <c r="AR160" i="1"/>
  <c r="AW160" i="1"/>
  <c r="AX160" i="1"/>
  <c r="AY160" i="1"/>
  <c r="AU160" i="1"/>
  <c r="B167" i="1"/>
  <c r="D164" i="1"/>
  <c r="C231" i="1"/>
  <c r="B234" i="1"/>
  <c r="B166" i="1"/>
  <c r="C166" i="1" s="1"/>
  <c r="D163" i="1"/>
  <c r="D165" i="1"/>
  <c r="C164" i="1"/>
  <c r="C165" i="1"/>
  <c r="E163" i="1" l="1"/>
  <c r="AS163" i="1" s="1"/>
  <c r="AV163" i="1"/>
  <c r="AW163" i="1"/>
  <c r="AX163" i="1"/>
  <c r="AY163" i="1"/>
  <c r="AT163" i="1"/>
  <c r="AR163" i="1"/>
  <c r="AU163" i="1"/>
  <c r="E165" i="1"/>
  <c r="AS165" i="1" s="1"/>
  <c r="AR165" i="1"/>
  <c r="AU165" i="1"/>
  <c r="AV165" i="1"/>
  <c r="AW165" i="1"/>
  <c r="AX165" i="1"/>
  <c r="AY165" i="1"/>
  <c r="AT165" i="1"/>
  <c r="E164" i="1"/>
  <c r="AS164" i="1" s="1"/>
  <c r="AR164" i="1"/>
  <c r="AT164" i="1"/>
  <c r="AU164" i="1"/>
  <c r="AV164" i="1"/>
  <c r="AW164" i="1"/>
  <c r="AX164" i="1"/>
  <c r="AY164" i="1"/>
  <c r="C234" i="1"/>
  <c r="B237" i="1"/>
  <c r="B169" i="1"/>
  <c r="C169" i="1" s="1"/>
  <c r="D166" i="1"/>
  <c r="D168" i="1"/>
  <c r="B170" i="1"/>
  <c r="D167" i="1"/>
  <c r="C168" i="1"/>
  <c r="C167" i="1"/>
  <c r="E168" i="1" l="1"/>
  <c r="AS168" i="1" s="1"/>
  <c r="AR168" i="1"/>
  <c r="AT168" i="1"/>
  <c r="AU168" i="1"/>
  <c r="AV168" i="1"/>
  <c r="AW168" i="1"/>
  <c r="AX168" i="1"/>
  <c r="AY168" i="1"/>
  <c r="E166" i="1"/>
  <c r="AS166" i="1" s="1"/>
  <c r="AT166" i="1"/>
  <c r="AV166" i="1"/>
  <c r="AW166" i="1"/>
  <c r="AX166" i="1"/>
  <c r="AY166" i="1"/>
  <c r="AR166" i="1"/>
  <c r="AU166" i="1"/>
  <c r="E167" i="1"/>
  <c r="AS167" i="1" s="1"/>
  <c r="AR167" i="1"/>
  <c r="AU167" i="1"/>
  <c r="AT167" i="1"/>
  <c r="AV167" i="1"/>
  <c r="AY167" i="1"/>
  <c r="AW167" i="1"/>
  <c r="AX167" i="1"/>
  <c r="B172" i="1"/>
  <c r="D171" i="1"/>
  <c r="D169" i="1"/>
  <c r="B173" i="1"/>
  <c r="D170" i="1"/>
  <c r="C237" i="1"/>
  <c r="B240" i="1"/>
  <c r="C170" i="1"/>
  <c r="E170" i="1" l="1"/>
  <c r="AT170" i="1"/>
  <c r="AU170" i="1"/>
  <c r="AV170" i="1"/>
  <c r="AW170" i="1"/>
  <c r="AX170" i="1"/>
  <c r="AY170" i="1"/>
  <c r="E171" i="1"/>
  <c r="AX171" i="1"/>
  <c r="AY171" i="1"/>
  <c r="AT171" i="1"/>
  <c r="AU171" i="1"/>
  <c r="AV171" i="1"/>
  <c r="AW171" i="1"/>
  <c r="E169" i="1"/>
  <c r="AT169" i="1"/>
  <c r="AU169" i="1"/>
  <c r="AV169" i="1"/>
  <c r="AW169" i="1"/>
  <c r="AX169" i="1"/>
  <c r="AY169" i="1"/>
  <c r="D173" i="1"/>
  <c r="AR173" i="1" s="1"/>
  <c r="B176" i="1"/>
  <c r="C173" i="1"/>
  <c r="C240" i="1"/>
  <c r="B243" i="1"/>
  <c r="D174" i="1"/>
  <c r="AR174" i="1" s="1"/>
  <c r="D172" i="1"/>
  <c r="AR172" i="1" s="1"/>
  <c r="B175" i="1"/>
  <c r="C172" i="1"/>
  <c r="E174" i="1" l="1"/>
  <c r="AV174" i="1"/>
  <c r="AW174" i="1"/>
  <c r="AX174" i="1"/>
  <c r="AY174" i="1"/>
  <c r="AT174" i="1"/>
  <c r="AU174" i="1"/>
  <c r="E173" i="1"/>
  <c r="AU173" i="1"/>
  <c r="AV173" i="1"/>
  <c r="AT173" i="1"/>
  <c r="AW173" i="1"/>
  <c r="AX173" i="1"/>
  <c r="AY173" i="1"/>
  <c r="E172" i="1"/>
  <c r="AS172" i="1" s="1"/>
  <c r="AT172" i="1"/>
  <c r="AU172" i="1"/>
  <c r="AV172" i="1"/>
  <c r="AW172" i="1"/>
  <c r="AX172" i="1"/>
  <c r="AY172" i="1"/>
  <c r="D176" i="1"/>
  <c r="AR176" i="1" s="1"/>
  <c r="B179" i="1"/>
  <c r="C176" i="1"/>
  <c r="D175" i="1"/>
  <c r="AR175" i="1" s="1"/>
  <c r="D177" i="1"/>
  <c r="AR177" i="1" s="1"/>
  <c r="B178" i="1"/>
  <c r="C175" i="1"/>
  <c r="B246" i="1"/>
  <c r="C243" i="1"/>
  <c r="E177" i="1" l="1"/>
  <c r="AT177" i="1"/>
  <c r="AU177" i="1"/>
  <c r="AV177" i="1"/>
  <c r="AW177" i="1"/>
  <c r="AX177" i="1"/>
  <c r="AY177" i="1"/>
  <c r="E175" i="1"/>
  <c r="AT175" i="1"/>
  <c r="AU175" i="1"/>
  <c r="AV175" i="1"/>
  <c r="AW175" i="1"/>
  <c r="AX175" i="1"/>
  <c r="AY175" i="1"/>
  <c r="E176" i="1"/>
  <c r="AT176" i="1"/>
  <c r="AU176" i="1"/>
  <c r="AV176" i="1"/>
  <c r="AW176" i="1"/>
  <c r="AX176" i="1"/>
  <c r="AY176" i="1"/>
  <c r="B249" i="1"/>
  <c r="C246" i="1"/>
  <c r="D178" i="1"/>
  <c r="AR178" i="1" s="1"/>
  <c r="D180" i="1"/>
  <c r="AR180" i="1" s="1"/>
  <c r="B181" i="1"/>
  <c r="C178" i="1"/>
  <c r="D179" i="1"/>
  <c r="AR179" i="1" s="1"/>
  <c r="B182" i="1"/>
  <c r="C179" i="1"/>
  <c r="E180" i="1" l="1"/>
  <c r="E179" i="1"/>
  <c r="E178" i="1"/>
  <c r="B185" i="1"/>
  <c r="D182" i="1"/>
  <c r="AR182" i="1" s="1"/>
  <c r="C182" i="1"/>
  <c r="B184" i="1"/>
  <c r="D183" i="1"/>
  <c r="AR183" i="1" s="1"/>
  <c r="D181" i="1"/>
  <c r="AR181" i="1" s="1"/>
  <c r="C181" i="1"/>
  <c r="C249" i="1"/>
  <c r="B252" i="1"/>
  <c r="E182" i="1" l="1"/>
  <c r="E183" i="1"/>
  <c r="E181" i="1"/>
  <c r="C184" i="1"/>
  <c r="B187" i="1"/>
  <c r="D186" i="1"/>
  <c r="AR186" i="1" s="1"/>
  <c r="D184" i="1"/>
  <c r="AR184" i="1" s="1"/>
  <c r="C252" i="1"/>
  <c r="B255" i="1"/>
  <c r="C185" i="1"/>
  <c r="B188" i="1"/>
  <c r="D185" i="1"/>
  <c r="AR185" i="1" s="1"/>
  <c r="E185" i="1" l="1"/>
  <c r="E184" i="1"/>
  <c r="E186" i="1"/>
  <c r="C188" i="1"/>
  <c r="B191" i="1"/>
  <c r="D188" i="1"/>
  <c r="AR188" i="1" s="1"/>
  <c r="C255" i="1"/>
  <c r="B258" i="1"/>
  <c r="B190" i="1"/>
  <c r="C187" i="1"/>
  <c r="D187" i="1"/>
  <c r="AR187" i="1" s="1"/>
  <c r="D189" i="1"/>
  <c r="AR189" i="1" s="1"/>
  <c r="E188" i="1" l="1"/>
  <c r="E189" i="1"/>
  <c r="E187" i="1"/>
  <c r="C190" i="1"/>
  <c r="B193" i="1"/>
  <c r="D190" i="1"/>
  <c r="AR190" i="1" s="1"/>
  <c r="D192" i="1"/>
  <c r="AR192" i="1" s="1"/>
  <c r="C191" i="1"/>
  <c r="B194" i="1"/>
  <c r="D191" i="1"/>
  <c r="AR191" i="1" s="1"/>
  <c r="B261" i="1"/>
  <c r="C258" i="1"/>
  <c r="E192" i="1" l="1"/>
  <c r="E191" i="1"/>
  <c r="E190" i="1"/>
  <c r="C261" i="1"/>
  <c r="B264" i="1"/>
  <c r="C194" i="1"/>
  <c r="B197" i="1"/>
  <c r="D194" i="1"/>
  <c r="E194" i="1" s="1"/>
  <c r="C193" i="1"/>
  <c r="B196" i="1"/>
  <c r="D195" i="1"/>
  <c r="E195" i="1" s="1"/>
  <c r="D193" i="1"/>
  <c r="E193" i="1" s="1"/>
  <c r="B199" i="1" l="1"/>
  <c r="C196" i="1"/>
  <c r="D198" i="1"/>
  <c r="E198" i="1" s="1"/>
  <c r="D196" i="1"/>
  <c r="E196" i="1" s="1"/>
  <c r="B267" i="1"/>
  <c r="C264" i="1"/>
  <c r="C197" i="1"/>
  <c r="B200" i="1"/>
  <c r="D197" i="1"/>
  <c r="E197" i="1" s="1"/>
  <c r="C200" i="1" l="1"/>
  <c r="B203" i="1"/>
  <c r="D200" i="1"/>
  <c r="E200" i="1" s="1"/>
  <c r="C267" i="1"/>
  <c r="B270" i="1"/>
  <c r="D199" i="1"/>
  <c r="E199" i="1" s="1"/>
  <c r="C199" i="1"/>
  <c r="B202" i="1"/>
  <c r="D201" i="1"/>
  <c r="E201" i="1" s="1"/>
  <c r="D202" i="1" l="1"/>
  <c r="E202" i="1" s="1"/>
  <c r="D204" i="1"/>
  <c r="E204" i="1" s="1"/>
  <c r="C202" i="1"/>
  <c r="B205" i="1"/>
  <c r="C203" i="1"/>
  <c r="B206" i="1"/>
  <c r="D203" i="1"/>
  <c r="E203" i="1" s="1"/>
  <c r="B273" i="1"/>
  <c r="C270" i="1"/>
  <c r="C273" i="1" l="1"/>
  <c r="B276" i="1"/>
  <c r="C205" i="1"/>
  <c r="D205" i="1"/>
  <c r="E205" i="1" s="1"/>
  <c r="B208" i="1"/>
  <c r="D207" i="1"/>
  <c r="E207" i="1" s="1"/>
  <c r="C206" i="1"/>
  <c r="B209" i="1"/>
  <c r="D206" i="1"/>
  <c r="E206" i="1" s="1"/>
  <c r="B212" i="1" l="1"/>
  <c r="C209" i="1"/>
  <c r="D209" i="1"/>
  <c r="E209" i="1" s="1"/>
  <c r="B279" i="1"/>
  <c r="C276" i="1"/>
  <c r="C208" i="1"/>
  <c r="D210" i="1"/>
  <c r="E210" i="1" s="1"/>
  <c r="B211" i="1"/>
  <c r="D208" i="1"/>
  <c r="E208" i="1" s="1"/>
  <c r="D211" i="1" l="1"/>
  <c r="E211" i="1" s="1"/>
  <c r="B214" i="1"/>
  <c r="D213" i="1"/>
  <c r="E213" i="1" s="1"/>
  <c r="C211" i="1"/>
  <c r="B282" i="1"/>
  <c r="C279" i="1"/>
  <c r="B215" i="1"/>
  <c r="D212" i="1"/>
  <c r="E212" i="1" s="1"/>
  <c r="C212" i="1"/>
  <c r="D214" i="1" l="1"/>
  <c r="E214" i="1" s="1"/>
  <c r="D216" i="1"/>
  <c r="E216" i="1" s="1"/>
  <c r="C214" i="1"/>
  <c r="B217" i="1"/>
  <c r="B218" i="1"/>
  <c r="D215" i="1"/>
  <c r="E215" i="1" s="1"/>
  <c r="C215" i="1"/>
  <c r="C282" i="1"/>
  <c r="B285" i="1"/>
  <c r="B220" i="1" l="1"/>
  <c r="D219" i="1"/>
  <c r="E219" i="1" s="1"/>
  <c r="D217" i="1"/>
  <c r="E217" i="1" s="1"/>
  <c r="C217" i="1"/>
  <c r="B288" i="1"/>
  <c r="C285" i="1"/>
  <c r="B221" i="1"/>
  <c r="C218" i="1"/>
  <c r="D218" i="1"/>
  <c r="E218" i="1" s="1"/>
  <c r="C221" i="1" l="1"/>
  <c r="D221" i="1"/>
  <c r="E221" i="1" s="1"/>
  <c r="B224" i="1"/>
  <c r="C288" i="1"/>
  <c r="B291" i="1"/>
  <c r="D220" i="1"/>
  <c r="E220" i="1" s="1"/>
  <c r="D222" i="1"/>
  <c r="E222" i="1" s="1"/>
  <c r="C220" i="1"/>
  <c r="B223" i="1"/>
  <c r="B227" i="1" l="1"/>
  <c r="C224" i="1"/>
  <c r="D224" i="1"/>
  <c r="E224" i="1" s="1"/>
  <c r="C223" i="1"/>
  <c r="B226" i="1"/>
  <c r="D225" i="1"/>
  <c r="E225" i="1" s="1"/>
  <c r="D223" i="1"/>
  <c r="E223" i="1" s="1"/>
  <c r="C291" i="1"/>
  <c r="B294" i="1"/>
  <c r="B297" i="1" l="1"/>
  <c r="C294" i="1"/>
  <c r="C226" i="1"/>
  <c r="B229" i="1"/>
  <c r="D226" i="1"/>
  <c r="E226" i="1" s="1"/>
  <c r="D228" i="1"/>
  <c r="E228" i="1" s="1"/>
  <c r="C227" i="1"/>
  <c r="B230" i="1"/>
  <c r="D227" i="1"/>
  <c r="E227" i="1" s="1"/>
  <c r="C230" i="1" l="1"/>
  <c r="B233" i="1"/>
  <c r="D230" i="1"/>
  <c r="E230" i="1" s="1"/>
  <c r="C229" i="1"/>
  <c r="B232" i="1"/>
  <c r="D229" i="1"/>
  <c r="E229" i="1" s="1"/>
  <c r="D231" i="1"/>
  <c r="E231" i="1" s="1"/>
  <c r="C297" i="1"/>
  <c r="B300" i="1"/>
  <c r="C233" i="1" l="1"/>
  <c r="B236" i="1"/>
  <c r="D233" i="1"/>
  <c r="E233" i="1" s="1"/>
  <c r="B303" i="1"/>
  <c r="C300" i="1"/>
  <c r="B235" i="1"/>
  <c r="C232" i="1"/>
  <c r="D234" i="1"/>
  <c r="E234" i="1" s="1"/>
  <c r="D232" i="1"/>
  <c r="E232" i="1" s="1"/>
  <c r="C303" i="1" l="1"/>
  <c r="B306" i="1"/>
  <c r="C235" i="1"/>
  <c r="B238" i="1"/>
  <c r="D237" i="1"/>
  <c r="E237" i="1" s="1"/>
  <c r="D235" i="1"/>
  <c r="E235" i="1" s="1"/>
  <c r="B239" i="1"/>
  <c r="C236" i="1"/>
  <c r="D236" i="1"/>
  <c r="E236" i="1" s="1"/>
  <c r="D240" i="1" l="1"/>
  <c r="E240" i="1" s="1"/>
  <c r="D238" i="1"/>
  <c r="E238" i="1" s="1"/>
  <c r="B241" i="1"/>
  <c r="C238" i="1"/>
  <c r="B309" i="1"/>
  <c r="C306" i="1"/>
  <c r="D239" i="1"/>
  <c r="E239" i="1" s="1"/>
  <c r="C239" i="1"/>
  <c r="B242" i="1"/>
  <c r="D241" i="1" l="1"/>
  <c r="E241" i="1" s="1"/>
  <c r="D243" i="1"/>
  <c r="E243" i="1" s="1"/>
  <c r="B244" i="1"/>
  <c r="C241" i="1"/>
  <c r="D242" i="1"/>
  <c r="E242" i="1" s="1"/>
  <c r="C242" i="1"/>
  <c r="B245" i="1"/>
  <c r="C309" i="1"/>
  <c r="B312" i="1"/>
  <c r="D244" i="1" l="1"/>
  <c r="E244" i="1" s="1"/>
  <c r="D246" i="1"/>
  <c r="E246" i="1" s="1"/>
  <c r="C244" i="1"/>
  <c r="B247" i="1"/>
  <c r="D245" i="1"/>
  <c r="E245" i="1" s="1"/>
  <c r="B248" i="1"/>
  <c r="C245" i="1"/>
  <c r="B315" i="1"/>
  <c r="C312" i="1"/>
  <c r="D249" i="1" l="1"/>
  <c r="E249" i="1" s="1"/>
  <c r="D247" i="1"/>
  <c r="E247" i="1" s="1"/>
  <c r="B250" i="1"/>
  <c r="C247" i="1"/>
  <c r="C315" i="1"/>
  <c r="B318" i="1"/>
  <c r="E248" i="1"/>
  <c r="B251" i="1"/>
  <c r="C248" i="1"/>
  <c r="D251" i="1" l="1"/>
  <c r="E251" i="1" s="1"/>
  <c r="B254" i="1"/>
  <c r="C251" i="1"/>
  <c r="D250" i="1"/>
  <c r="E250" i="1" s="1"/>
  <c r="D252" i="1"/>
  <c r="E252" i="1" s="1"/>
  <c r="C250" i="1"/>
  <c r="B253" i="1"/>
  <c r="C318" i="1"/>
  <c r="B321" i="1"/>
  <c r="C253" i="1" l="1"/>
  <c r="D253" i="1"/>
  <c r="E253" i="1" s="1"/>
  <c r="D255" i="1"/>
  <c r="E255" i="1" s="1"/>
  <c r="B256" i="1"/>
  <c r="C254" i="1"/>
  <c r="B257" i="1"/>
  <c r="D254" i="1"/>
  <c r="E254" i="1" s="1"/>
  <c r="B324" i="1"/>
  <c r="C321" i="1"/>
  <c r="C324" i="1" l="1"/>
  <c r="B327" i="1"/>
  <c r="C257" i="1"/>
  <c r="D257" i="1"/>
  <c r="E257" i="1" s="1"/>
  <c r="B260" i="1"/>
  <c r="B259" i="1"/>
  <c r="D256" i="1"/>
  <c r="E256" i="1" s="1"/>
  <c r="D258" i="1"/>
  <c r="E258" i="1" s="1"/>
  <c r="C256" i="1"/>
  <c r="D259" i="1" l="1"/>
  <c r="E259" i="1" s="1"/>
  <c r="D261" i="1"/>
  <c r="E261" i="1" s="1"/>
  <c r="B262" i="1"/>
  <c r="C259" i="1"/>
  <c r="C327" i="1"/>
  <c r="B330" i="1"/>
  <c r="D260" i="1"/>
  <c r="E260" i="1" s="1"/>
  <c r="C260" i="1"/>
  <c r="B263" i="1"/>
  <c r="D264" i="1" l="1"/>
  <c r="E264" i="1" s="1"/>
  <c r="D262" i="1"/>
  <c r="E262" i="1" s="1"/>
  <c r="B265" i="1"/>
  <c r="C262" i="1"/>
  <c r="B333" i="1"/>
  <c r="C330" i="1"/>
  <c r="D263" i="1"/>
  <c r="E263" i="1" s="1"/>
  <c r="C263" i="1"/>
  <c r="B266" i="1"/>
  <c r="D267" i="1" l="1"/>
  <c r="E267" i="1" s="1"/>
  <c r="D265" i="1"/>
  <c r="E265" i="1" s="1"/>
  <c r="C265" i="1"/>
  <c r="B268" i="1"/>
  <c r="D266" i="1"/>
  <c r="E266" i="1" s="1"/>
  <c r="B269" i="1"/>
  <c r="C266" i="1"/>
  <c r="C333" i="1"/>
  <c r="B336" i="1"/>
  <c r="D269" i="1" l="1"/>
  <c r="E269" i="1" s="1"/>
  <c r="B272" i="1"/>
  <c r="C269" i="1"/>
  <c r="D268" i="1"/>
  <c r="E268" i="1" s="1"/>
  <c r="D270" i="1"/>
  <c r="E270" i="1" s="1"/>
  <c r="B271" i="1"/>
  <c r="C268" i="1"/>
  <c r="B339" i="1"/>
  <c r="C336" i="1"/>
  <c r="D273" i="1" l="1"/>
  <c r="E273" i="1" s="1"/>
  <c r="D271" i="1"/>
  <c r="E271" i="1" s="1"/>
  <c r="C271" i="1"/>
  <c r="B274" i="1"/>
  <c r="D272" i="1"/>
  <c r="E272" i="1" s="1"/>
  <c r="B275" i="1"/>
  <c r="C272" i="1"/>
  <c r="C339" i="1"/>
  <c r="B342" i="1"/>
  <c r="D274" i="1" l="1"/>
  <c r="E274" i="1" s="1"/>
  <c r="D276" i="1"/>
  <c r="E276" i="1" s="1"/>
  <c r="B277" i="1"/>
  <c r="C274" i="1"/>
  <c r="D275" i="1"/>
  <c r="E275" i="1" s="1"/>
  <c r="B278" i="1"/>
  <c r="C275" i="1"/>
  <c r="B345" i="1"/>
  <c r="C342" i="1"/>
  <c r="C345" i="1" l="1"/>
  <c r="B348" i="1"/>
  <c r="D278" i="1"/>
  <c r="E278" i="1" s="1"/>
  <c r="B281" i="1"/>
  <c r="C278" i="1"/>
  <c r="D277" i="1"/>
  <c r="E277" i="1" s="1"/>
  <c r="D279" i="1"/>
  <c r="E279" i="1" s="1"/>
  <c r="C277" i="1"/>
  <c r="B280" i="1"/>
  <c r="D281" i="1" l="1"/>
  <c r="E281" i="1" s="1"/>
  <c r="B284" i="1"/>
  <c r="C281" i="1"/>
  <c r="B351" i="1"/>
  <c r="C348" i="1"/>
  <c r="D280" i="1"/>
  <c r="E280" i="1" s="1"/>
  <c r="D282" i="1"/>
  <c r="E282" i="1" s="1"/>
  <c r="C280" i="1"/>
  <c r="B283" i="1"/>
  <c r="B354" i="1" l="1"/>
  <c r="C351" i="1"/>
  <c r="D284" i="1"/>
  <c r="E284" i="1" s="1"/>
  <c r="B287" i="1"/>
  <c r="C284" i="1"/>
  <c r="D283" i="1"/>
  <c r="E283" i="1" s="1"/>
  <c r="D285" i="1"/>
  <c r="E285" i="1" s="1"/>
  <c r="B286" i="1"/>
  <c r="C283" i="1"/>
  <c r="D288" i="1" l="1"/>
  <c r="E288" i="1" s="1"/>
  <c r="D286" i="1"/>
  <c r="E286" i="1" s="1"/>
  <c r="B289" i="1"/>
  <c r="C286" i="1"/>
  <c r="D287" i="1"/>
  <c r="E287" i="1" s="1"/>
  <c r="B290" i="1"/>
  <c r="C287" i="1"/>
  <c r="C354" i="1"/>
  <c r="B357" i="1"/>
  <c r="C289" i="1" l="1"/>
  <c r="D291" i="1"/>
  <c r="E291" i="1" s="1"/>
  <c r="B292" i="1"/>
  <c r="D289" i="1"/>
  <c r="E289" i="1" s="1"/>
  <c r="C290" i="1"/>
  <c r="D290" i="1"/>
  <c r="E290" i="1" s="1"/>
  <c r="B293" i="1"/>
  <c r="B360" i="1"/>
  <c r="C357" i="1"/>
  <c r="C360" i="1" l="1"/>
  <c r="B363" i="1"/>
  <c r="C293" i="1"/>
  <c r="B296" i="1"/>
  <c r="D293" i="1"/>
  <c r="E293" i="1" s="1"/>
  <c r="B295" i="1"/>
  <c r="D292" i="1"/>
  <c r="E292" i="1" s="1"/>
  <c r="D294" i="1"/>
  <c r="E294" i="1" s="1"/>
  <c r="C292" i="1"/>
  <c r="D295" i="1" l="1"/>
  <c r="E295" i="1" s="1"/>
  <c r="D297" i="1"/>
  <c r="E297" i="1" s="1"/>
  <c r="B298" i="1"/>
  <c r="C295" i="1"/>
  <c r="C363" i="1"/>
  <c r="B366" i="1"/>
  <c r="B299" i="1"/>
  <c r="D296" i="1"/>
  <c r="E296" i="1" s="1"/>
  <c r="C296" i="1"/>
  <c r="D299" i="1" l="1"/>
  <c r="E299" i="1" s="1"/>
  <c r="C299" i="1"/>
  <c r="B302" i="1"/>
  <c r="D298" i="1"/>
  <c r="E298" i="1" s="1"/>
  <c r="D300" i="1"/>
  <c r="E300" i="1" s="1"/>
  <c r="B301" i="1"/>
  <c r="C298" i="1"/>
  <c r="C366" i="1"/>
  <c r="B369" i="1"/>
  <c r="D302" i="1" l="1"/>
  <c r="E302" i="1" s="1"/>
  <c r="B305" i="1"/>
  <c r="C302" i="1"/>
  <c r="D301" i="1"/>
  <c r="E301" i="1" s="1"/>
  <c r="D303" i="1"/>
  <c r="E303" i="1" s="1"/>
  <c r="C301" i="1"/>
  <c r="B304" i="1"/>
  <c r="C369" i="1"/>
  <c r="B372" i="1"/>
  <c r="D304" i="1" l="1"/>
  <c r="E304" i="1" s="1"/>
  <c r="D306" i="1"/>
  <c r="E306" i="1" s="1"/>
  <c r="B307" i="1"/>
  <c r="C304" i="1"/>
  <c r="D305" i="1"/>
  <c r="E305" i="1" s="1"/>
  <c r="C305" i="1"/>
  <c r="B308" i="1"/>
  <c r="B375" i="1"/>
  <c r="C372" i="1"/>
  <c r="C375" i="1" l="1"/>
  <c r="B378" i="1"/>
  <c r="D308" i="1"/>
  <c r="E308" i="1" s="1"/>
  <c r="B311" i="1"/>
  <c r="C308" i="1"/>
  <c r="D307" i="1"/>
  <c r="E307" i="1" s="1"/>
  <c r="D309" i="1"/>
  <c r="E309" i="1" s="1"/>
  <c r="C307" i="1"/>
  <c r="B310" i="1"/>
  <c r="D311" i="1" l="1"/>
  <c r="E311" i="1" s="1"/>
  <c r="B314" i="1"/>
  <c r="C311" i="1"/>
  <c r="C378" i="1"/>
  <c r="B381" i="1"/>
  <c r="D312" i="1"/>
  <c r="E312" i="1" s="1"/>
  <c r="D310" i="1"/>
  <c r="E310" i="1" s="1"/>
  <c r="B313" i="1"/>
  <c r="C310" i="1"/>
  <c r="D315" i="1" l="1"/>
  <c r="E315" i="1" s="1"/>
  <c r="D313" i="1"/>
  <c r="E313" i="1" s="1"/>
  <c r="B316" i="1"/>
  <c r="C313" i="1"/>
  <c r="D314" i="1"/>
  <c r="E314" i="1" s="1"/>
  <c r="B317" i="1"/>
  <c r="C314" i="1"/>
  <c r="C381" i="1"/>
  <c r="B384" i="1"/>
  <c r="D316" i="1" l="1"/>
  <c r="E316" i="1" s="1"/>
  <c r="D318" i="1"/>
  <c r="E318" i="1" s="1"/>
  <c r="C316" i="1"/>
  <c r="B319" i="1"/>
  <c r="D317" i="1"/>
  <c r="E317" i="1" s="1"/>
  <c r="B320" i="1"/>
  <c r="C317" i="1"/>
  <c r="C384" i="1"/>
  <c r="B387" i="1"/>
  <c r="D321" i="1" l="1"/>
  <c r="E321" i="1" s="1"/>
  <c r="D319" i="1"/>
  <c r="E319" i="1" s="1"/>
  <c r="B322" i="1"/>
  <c r="C319" i="1"/>
  <c r="D320" i="1"/>
  <c r="E320" i="1" s="1"/>
  <c r="C320" i="1"/>
  <c r="B323" i="1"/>
  <c r="B390" i="1"/>
  <c r="C387" i="1"/>
  <c r="D323" i="1" l="1"/>
  <c r="E323" i="1" s="1"/>
  <c r="C323" i="1"/>
  <c r="B326" i="1"/>
  <c r="D322" i="1"/>
  <c r="E322" i="1" s="1"/>
  <c r="D324" i="1"/>
  <c r="E324" i="1" s="1"/>
  <c r="B325" i="1"/>
  <c r="C322" i="1"/>
  <c r="B393" i="1"/>
  <c r="C390" i="1"/>
  <c r="C326" i="1" l="1"/>
  <c r="D326" i="1"/>
  <c r="E326" i="1" s="1"/>
  <c r="B329" i="1"/>
  <c r="C325" i="1"/>
  <c r="B328" i="1"/>
  <c r="D325" i="1"/>
  <c r="E325" i="1" s="1"/>
  <c r="D327" i="1"/>
  <c r="E327" i="1" s="1"/>
  <c r="C393" i="1"/>
  <c r="B396" i="1"/>
  <c r="C329" i="1" l="1"/>
  <c r="D329" i="1"/>
  <c r="E329" i="1" s="1"/>
  <c r="B332" i="1"/>
  <c r="C396" i="1"/>
  <c r="B399" i="1"/>
  <c r="B331" i="1"/>
  <c r="D330" i="1"/>
  <c r="E330" i="1" s="1"/>
  <c r="D328" i="1"/>
  <c r="E328" i="1" s="1"/>
  <c r="C328" i="1"/>
  <c r="D332" i="1" l="1"/>
  <c r="E332" i="1" s="1"/>
  <c r="B335" i="1"/>
  <c r="C332" i="1"/>
  <c r="D331" i="1"/>
  <c r="E331" i="1" s="1"/>
  <c r="D333" i="1"/>
  <c r="E333" i="1" s="1"/>
  <c r="B334" i="1"/>
  <c r="C331" i="1"/>
  <c r="C399" i="1"/>
  <c r="B402" i="1"/>
  <c r="D334" i="1" l="1"/>
  <c r="E334" i="1" s="1"/>
  <c r="D336" i="1"/>
  <c r="E336" i="1" s="1"/>
  <c r="B337" i="1"/>
  <c r="C334" i="1"/>
  <c r="D335" i="1"/>
  <c r="E335" i="1" s="1"/>
  <c r="C335" i="1"/>
  <c r="B338" i="1"/>
  <c r="C402" i="1"/>
  <c r="B405" i="1"/>
  <c r="D337" i="1" l="1"/>
  <c r="E337" i="1" s="1"/>
  <c r="D339" i="1"/>
  <c r="E339" i="1" s="1"/>
  <c r="B340" i="1"/>
  <c r="C337" i="1"/>
  <c r="D338" i="1"/>
  <c r="E338" i="1" s="1"/>
  <c r="B341" i="1"/>
  <c r="C338" i="1"/>
  <c r="C405" i="1"/>
  <c r="B408" i="1"/>
  <c r="D340" i="1" l="1"/>
  <c r="E340" i="1" s="1"/>
  <c r="D342" i="1"/>
  <c r="E342" i="1" s="1"/>
  <c r="B343" i="1"/>
  <c r="C340" i="1"/>
  <c r="D341" i="1"/>
  <c r="E341" i="1" s="1"/>
  <c r="C341" i="1"/>
  <c r="B344" i="1"/>
  <c r="B411" i="1"/>
  <c r="C408" i="1"/>
  <c r="C411" i="1" l="1"/>
  <c r="B414" i="1"/>
  <c r="D344" i="1"/>
  <c r="E344" i="1" s="1"/>
  <c r="B347" i="1"/>
  <c r="C344" i="1"/>
  <c r="D343" i="1"/>
  <c r="E343" i="1" s="1"/>
  <c r="D345" i="1"/>
  <c r="E345" i="1" s="1"/>
  <c r="B346" i="1"/>
  <c r="C343" i="1"/>
  <c r="D347" i="1" l="1"/>
  <c r="E347" i="1" s="1"/>
  <c r="C347" i="1"/>
  <c r="B350" i="1"/>
  <c r="B417" i="1"/>
  <c r="C414" i="1"/>
  <c r="D348" i="1"/>
  <c r="E348" i="1" s="1"/>
  <c r="D346" i="1"/>
  <c r="E346" i="1" s="1"/>
  <c r="B349" i="1"/>
  <c r="C346" i="1"/>
  <c r="D351" i="1" l="1"/>
  <c r="E351" i="1" s="1"/>
  <c r="D349" i="1"/>
  <c r="E349" i="1" s="1"/>
  <c r="B352" i="1"/>
  <c r="C349" i="1"/>
  <c r="D350" i="1"/>
  <c r="E350" i="1" s="1"/>
  <c r="B353" i="1"/>
  <c r="C350" i="1"/>
  <c r="C417" i="1"/>
  <c r="B420" i="1"/>
  <c r="D352" i="1" l="1"/>
  <c r="E352" i="1" s="1"/>
  <c r="D354" i="1"/>
  <c r="E354" i="1" s="1"/>
  <c r="C352" i="1"/>
  <c r="B355" i="1"/>
  <c r="D353" i="1"/>
  <c r="E353" i="1" s="1"/>
  <c r="B356" i="1"/>
  <c r="C353" i="1"/>
  <c r="C420" i="1"/>
  <c r="B423" i="1"/>
  <c r="D357" i="1" l="1"/>
  <c r="E357" i="1" s="1"/>
  <c r="D355" i="1"/>
  <c r="E355" i="1" s="1"/>
  <c r="B358" i="1"/>
  <c r="C355" i="1"/>
  <c r="B426" i="1"/>
  <c r="C423" i="1"/>
  <c r="D356" i="1"/>
  <c r="E356" i="1" s="1"/>
  <c r="C356" i="1"/>
  <c r="B359" i="1"/>
  <c r="D358" i="1" l="1"/>
  <c r="E358" i="1" s="1"/>
  <c r="D360" i="1"/>
  <c r="E360" i="1" s="1"/>
  <c r="B361" i="1"/>
  <c r="C358" i="1"/>
  <c r="D359" i="1"/>
  <c r="E359" i="1" s="1"/>
  <c r="C359" i="1"/>
  <c r="B362" i="1"/>
  <c r="B429" i="1"/>
  <c r="C426" i="1"/>
  <c r="C362" i="1" l="1"/>
  <c r="B365" i="1"/>
  <c r="D362" i="1"/>
  <c r="E362" i="1" s="1"/>
  <c r="C361" i="1"/>
  <c r="D361" i="1"/>
  <c r="E361" i="1" s="1"/>
  <c r="B364" i="1"/>
  <c r="D363" i="1"/>
  <c r="E363" i="1" s="1"/>
  <c r="C429" i="1"/>
  <c r="B432" i="1"/>
  <c r="B367" i="1" l="1"/>
  <c r="D364" i="1"/>
  <c r="E364" i="1" s="1"/>
  <c r="D366" i="1"/>
  <c r="E366" i="1" s="1"/>
  <c r="C364" i="1"/>
  <c r="C365" i="1"/>
  <c r="B368" i="1"/>
  <c r="D365" i="1"/>
  <c r="E365" i="1" s="1"/>
  <c r="C432" i="1"/>
  <c r="B435" i="1"/>
  <c r="B371" i="1" l="1"/>
  <c r="D368" i="1"/>
  <c r="E368" i="1" s="1"/>
  <c r="C368" i="1"/>
  <c r="C435" i="1"/>
  <c r="B438" i="1"/>
  <c r="D367" i="1"/>
  <c r="E367" i="1" s="1"/>
  <c r="D369" i="1"/>
  <c r="E369" i="1" s="1"/>
  <c r="C367" i="1"/>
  <c r="B370" i="1"/>
  <c r="D372" i="1" l="1"/>
  <c r="E372" i="1" s="1"/>
  <c r="D370" i="1"/>
  <c r="E370" i="1" s="1"/>
  <c r="C370" i="1"/>
  <c r="B373" i="1"/>
  <c r="B441" i="1"/>
  <c r="C438" i="1"/>
  <c r="D371" i="1"/>
  <c r="E371" i="1" s="1"/>
  <c r="B374" i="1"/>
  <c r="C371" i="1"/>
  <c r="D374" i="1" l="1"/>
  <c r="E374" i="1" s="1"/>
  <c r="C374" i="1"/>
  <c r="B377" i="1"/>
  <c r="D375" i="1"/>
  <c r="E375" i="1" s="1"/>
  <c r="D373" i="1"/>
  <c r="E373" i="1" s="1"/>
  <c r="C373" i="1"/>
  <c r="B376" i="1"/>
  <c r="C441" i="1"/>
  <c r="B444" i="1"/>
  <c r="D377" i="1" l="1"/>
  <c r="E377" i="1" s="1"/>
  <c r="C377" i="1"/>
  <c r="B380" i="1"/>
  <c r="B447" i="1"/>
  <c r="C444" i="1"/>
  <c r="D378" i="1"/>
  <c r="E378" i="1" s="1"/>
  <c r="D376" i="1"/>
  <c r="E376" i="1" s="1"/>
  <c r="B379" i="1"/>
  <c r="C376" i="1"/>
  <c r="D380" i="1" l="1"/>
  <c r="E380" i="1" s="1"/>
  <c r="B383" i="1"/>
  <c r="C380" i="1"/>
  <c r="D379" i="1"/>
  <c r="E379" i="1" s="1"/>
  <c r="D381" i="1"/>
  <c r="E381" i="1" s="1"/>
  <c r="C379" i="1"/>
  <c r="B382" i="1"/>
  <c r="C447" i="1"/>
  <c r="B450" i="1"/>
  <c r="C450" i="1" l="1"/>
  <c r="B453" i="1"/>
  <c r="D382" i="1"/>
  <c r="E382" i="1" s="1"/>
  <c r="D384" i="1"/>
  <c r="E384" i="1" s="1"/>
  <c r="C382" i="1"/>
  <c r="B385" i="1"/>
  <c r="D383" i="1"/>
  <c r="E383" i="1" s="1"/>
  <c r="C383" i="1"/>
  <c r="B386" i="1"/>
  <c r="D385" i="1" l="1"/>
  <c r="E385" i="1" s="1"/>
  <c r="D387" i="1"/>
  <c r="E387" i="1" s="1"/>
  <c r="B388" i="1"/>
  <c r="C385" i="1"/>
  <c r="C453" i="1"/>
  <c r="B456" i="1"/>
  <c r="D386" i="1"/>
  <c r="E386" i="1" s="1"/>
  <c r="C386" i="1"/>
  <c r="B389" i="1"/>
  <c r="D388" i="1" l="1"/>
  <c r="E388" i="1" s="1"/>
  <c r="D390" i="1"/>
  <c r="E390" i="1" s="1"/>
  <c r="C388" i="1"/>
  <c r="B391" i="1"/>
  <c r="B459" i="1"/>
  <c r="C456" i="1"/>
  <c r="D389" i="1"/>
  <c r="E389" i="1" s="1"/>
  <c r="B392" i="1"/>
  <c r="C389" i="1"/>
  <c r="D392" i="1" l="1"/>
  <c r="E392" i="1" s="1"/>
  <c r="C392" i="1"/>
  <c r="B395" i="1"/>
  <c r="D391" i="1"/>
  <c r="E391" i="1" s="1"/>
  <c r="D393" i="1"/>
  <c r="E393" i="1" s="1"/>
  <c r="C391" i="1"/>
  <c r="B394" i="1"/>
  <c r="B462" i="1"/>
  <c r="C459" i="1"/>
  <c r="C462" i="1" l="1"/>
  <c r="B465" i="1"/>
  <c r="D396" i="1"/>
  <c r="E396" i="1" s="1"/>
  <c r="D394" i="1"/>
  <c r="E394" i="1" s="1"/>
  <c r="B397" i="1"/>
  <c r="C394" i="1"/>
  <c r="D395" i="1"/>
  <c r="E395" i="1" s="1"/>
  <c r="B398" i="1"/>
  <c r="C395" i="1"/>
  <c r="C398" i="1" l="1"/>
  <c r="B401" i="1"/>
  <c r="D398" i="1"/>
  <c r="E398" i="1" s="1"/>
  <c r="C465" i="1"/>
  <c r="B468" i="1"/>
  <c r="C397" i="1"/>
  <c r="D399" i="1"/>
  <c r="E399" i="1" s="1"/>
  <c r="D397" i="1"/>
  <c r="E397" i="1" s="1"/>
  <c r="B400" i="1"/>
  <c r="C401" i="1" l="1"/>
  <c r="D401" i="1"/>
  <c r="E401" i="1" s="1"/>
  <c r="B404" i="1"/>
  <c r="B403" i="1"/>
  <c r="D400" i="1"/>
  <c r="E400" i="1" s="1"/>
  <c r="D402" i="1"/>
  <c r="E402" i="1" s="1"/>
  <c r="C400" i="1"/>
  <c r="B471" i="1"/>
  <c r="C468" i="1"/>
  <c r="C471" i="1" l="1"/>
  <c r="B474" i="1"/>
  <c r="D403" i="1"/>
  <c r="E403" i="1" s="1"/>
  <c r="D405" i="1"/>
  <c r="E405" i="1" s="1"/>
  <c r="C403" i="1"/>
  <c r="B406" i="1"/>
  <c r="B407" i="1"/>
  <c r="D404" i="1"/>
  <c r="E404" i="1" s="1"/>
  <c r="C404" i="1"/>
  <c r="D407" i="1" l="1"/>
  <c r="E407" i="1" s="1"/>
  <c r="B410" i="1"/>
  <c r="C407" i="1"/>
  <c r="D406" i="1"/>
  <c r="E406" i="1" s="1"/>
  <c r="D408" i="1"/>
  <c r="E408" i="1" s="1"/>
  <c r="C406" i="1"/>
  <c r="B409" i="1"/>
  <c r="B477" i="1"/>
  <c r="C474" i="1"/>
  <c r="B480" i="1" l="1"/>
  <c r="C477" i="1"/>
  <c r="D409" i="1"/>
  <c r="E409" i="1" s="1"/>
  <c r="D411" i="1"/>
  <c r="E411" i="1" s="1"/>
  <c r="C409" i="1"/>
  <c r="B412" i="1"/>
  <c r="D410" i="1"/>
  <c r="E410" i="1" s="1"/>
  <c r="C410" i="1"/>
  <c r="B413" i="1"/>
  <c r="D412" i="1" l="1"/>
  <c r="E412" i="1" s="1"/>
  <c r="D414" i="1"/>
  <c r="E414" i="1" s="1"/>
  <c r="B415" i="1"/>
  <c r="C412" i="1"/>
  <c r="D413" i="1"/>
  <c r="E413" i="1" s="1"/>
  <c r="B416" i="1"/>
  <c r="C413" i="1"/>
  <c r="B483" i="1"/>
  <c r="C480" i="1"/>
  <c r="B486" i="1" l="1"/>
  <c r="C483" i="1"/>
  <c r="D417" i="1"/>
  <c r="E417" i="1" s="1"/>
  <c r="D415" i="1"/>
  <c r="E415" i="1" s="1"/>
  <c r="C415" i="1"/>
  <c r="B418" i="1"/>
  <c r="D416" i="1"/>
  <c r="E416" i="1" s="1"/>
  <c r="C416" i="1"/>
  <c r="B419" i="1"/>
  <c r="D420" i="1" l="1"/>
  <c r="E420" i="1" s="1"/>
  <c r="D418" i="1"/>
  <c r="E418" i="1" s="1"/>
  <c r="B421" i="1"/>
  <c r="C418" i="1"/>
  <c r="D419" i="1"/>
  <c r="E419" i="1" s="1"/>
  <c r="B422" i="1"/>
  <c r="C419" i="1"/>
  <c r="B489" i="1"/>
  <c r="C486" i="1"/>
  <c r="C489" i="1" l="1"/>
  <c r="B492" i="1"/>
  <c r="D421" i="1"/>
  <c r="E421" i="1" s="1"/>
  <c r="D423" i="1"/>
  <c r="E423" i="1" s="1"/>
  <c r="C421" i="1"/>
  <c r="B424" i="1"/>
  <c r="D422" i="1"/>
  <c r="E422" i="1" s="1"/>
  <c r="C422" i="1"/>
  <c r="B425" i="1"/>
  <c r="D426" i="1" l="1"/>
  <c r="E426" i="1" s="1"/>
  <c r="D424" i="1"/>
  <c r="E424" i="1" s="1"/>
  <c r="B427" i="1"/>
  <c r="C424" i="1"/>
  <c r="B495" i="1"/>
  <c r="C492" i="1"/>
  <c r="D425" i="1"/>
  <c r="E425" i="1" s="1"/>
  <c r="B428" i="1"/>
  <c r="C425" i="1"/>
  <c r="D428" i="1" l="1"/>
  <c r="E428" i="1" s="1"/>
  <c r="C428" i="1"/>
  <c r="B431" i="1"/>
  <c r="D427" i="1"/>
  <c r="E427" i="1" s="1"/>
  <c r="D429" i="1"/>
  <c r="E429" i="1" s="1"/>
  <c r="B430" i="1"/>
  <c r="C427" i="1"/>
  <c r="C495" i="1"/>
  <c r="B498" i="1"/>
  <c r="D431" i="1" l="1"/>
  <c r="E431" i="1" s="1"/>
  <c r="B434" i="1"/>
  <c r="C431" i="1"/>
  <c r="D430" i="1"/>
  <c r="E430" i="1" s="1"/>
  <c r="D432" i="1"/>
  <c r="E432" i="1" s="1"/>
  <c r="B433" i="1"/>
  <c r="C430" i="1"/>
  <c r="C498" i="1"/>
  <c r="B501" i="1"/>
  <c r="C433" i="1" l="1"/>
  <c r="D433" i="1"/>
  <c r="E433" i="1" s="1"/>
  <c r="D435" i="1"/>
  <c r="E435" i="1" s="1"/>
  <c r="B436" i="1"/>
  <c r="C434" i="1"/>
  <c r="B437" i="1"/>
  <c r="D434" i="1"/>
  <c r="E434" i="1" s="1"/>
  <c r="B504" i="1"/>
  <c r="C501" i="1"/>
  <c r="B507" i="1" l="1"/>
  <c r="C504" i="1"/>
  <c r="B439" i="1"/>
  <c r="D438" i="1"/>
  <c r="E438" i="1" s="1"/>
  <c r="D436" i="1"/>
  <c r="E436" i="1" s="1"/>
  <c r="C436" i="1"/>
  <c r="C437" i="1"/>
  <c r="D437" i="1"/>
  <c r="E437" i="1" s="1"/>
  <c r="B440" i="1"/>
  <c r="D439" i="1" l="1"/>
  <c r="E439" i="1" s="1"/>
  <c r="D441" i="1"/>
  <c r="E441" i="1" s="1"/>
  <c r="C439" i="1"/>
  <c r="B442" i="1"/>
  <c r="B443" i="1"/>
  <c r="D440" i="1"/>
  <c r="E440" i="1" s="1"/>
  <c r="C440" i="1"/>
  <c r="C507" i="1"/>
  <c r="B510" i="1"/>
  <c r="D442" i="1" l="1"/>
  <c r="E442" i="1" s="1"/>
  <c r="D444" i="1"/>
  <c r="E444" i="1" s="1"/>
  <c r="B445" i="1"/>
  <c r="C442" i="1"/>
  <c r="B513" i="1"/>
  <c r="C510" i="1"/>
  <c r="D443" i="1"/>
  <c r="E443" i="1" s="1"/>
  <c r="C443" i="1"/>
  <c r="B446" i="1"/>
  <c r="D445" i="1" l="1"/>
  <c r="E445" i="1" s="1"/>
  <c r="D447" i="1"/>
  <c r="E447" i="1" s="1"/>
  <c r="C445" i="1"/>
  <c r="B448" i="1"/>
  <c r="D446" i="1"/>
  <c r="E446" i="1" s="1"/>
  <c r="B449" i="1"/>
  <c r="C446" i="1"/>
  <c r="B516" i="1"/>
  <c r="C513" i="1"/>
  <c r="B519" i="1" l="1"/>
  <c r="C516" i="1"/>
  <c r="D450" i="1"/>
  <c r="E450" i="1" s="1"/>
  <c r="D448" i="1"/>
  <c r="E448" i="1" s="1"/>
  <c r="B451" i="1"/>
  <c r="C448" i="1"/>
  <c r="D449" i="1"/>
  <c r="E449" i="1" s="1"/>
  <c r="C449" i="1"/>
  <c r="B452" i="1"/>
  <c r="D452" i="1" l="1"/>
  <c r="E452" i="1" s="1"/>
  <c r="B455" i="1"/>
  <c r="C452" i="1"/>
  <c r="D453" i="1"/>
  <c r="E453" i="1" s="1"/>
  <c r="D451" i="1"/>
  <c r="E451" i="1" s="1"/>
  <c r="C451" i="1"/>
  <c r="B454" i="1"/>
  <c r="C519" i="1"/>
  <c r="B522" i="1"/>
  <c r="D455" i="1" l="1"/>
  <c r="E455" i="1" s="1"/>
  <c r="C455" i="1"/>
  <c r="B458" i="1"/>
  <c r="D456" i="1"/>
  <c r="E456" i="1" s="1"/>
  <c r="D454" i="1"/>
  <c r="E454" i="1" s="1"/>
  <c r="B457" i="1"/>
  <c r="C454" i="1"/>
  <c r="B525" i="1"/>
  <c r="C522" i="1"/>
  <c r="D458" i="1" l="1"/>
  <c r="E458" i="1" s="1"/>
  <c r="B461" i="1"/>
  <c r="C458" i="1"/>
  <c r="D459" i="1"/>
  <c r="E459" i="1" s="1"/>
  <c r="D457" i="1"/>
  <c r="E457" i="1" s="1"/>
  <c r="B460" i="1"/>
  <c r="C457" i="1"/>
  <c r="C525" i="1"/>
  <c r="B528" i="1"/>
  <c r="D460" i="1" l="1"/>
  <c r="E460" i="1" s="1"/>
  <c r="D462" i="1"/>
  <c r="E462" i="1" s="1"/>
  <c r="C460" i="1"/>
  <c r="B463" i="1"/>
  <c r="D461" i="1"/>
  <c r="E461" i="1" s="1"/>
  <c r="B464" i="1"/>
  <c r="C461" i="1"/>
  <c r="B531" i="1"/>
  <c r="C528" i="1"/>
  <c r="C531" i="1" l="1"/>
  <c r="B534" i="1"/>
  <c r="D464" i="1"/>
  <c r="E464" i="1" s="1"/>
  <c r="C464" i="1"/>
  <c r="B467" i="1"/>
  <c r="D463" i="1"/>
  <c r="E463" i="1" s="1"/>
  <c r="D465" i="1"/>
  <c r="E465" i="1" s="1"/>
  <c r="B466" i="1"/>
  <c r="C463" i="1"/>
  <c r="D466" i="1" l="1"/>
  <c r="E466" i="1" s="1"/>
  <c r="D468" i="1"/>
  <c r="E468" i="1" s="1"/>
  <c r="C466" i="1"/>
  <c r="B469" i="1"/>
  <c r="C534" i="1"/>
  <c r="B537" i="1"/>
  <c r="D467" i="1"/>
  <c r="E467" i="1" s="1"/>
  <c r="B470" i="1"/>
  <c r="C467" i="1"/>
  <c r="C470" i="1" l="1"/>
  <c r="B473" i="1"/>
  <c r="D470" i="1"/>
  <c r="E470" i="1" s="1"/>
  <c r="C469" i="1"/>
  <c r="D469" i="1"/>
  <c r="E469" i="1" s="1"/>
  <c r="D471" i="1"/>
  <c r="E471" i="1" s="1"/>
  <c r="B472" i="1"/>
  <c r="C537" i="1"/>
  <c r="B540" i="1"/>
  <c r="B475" i="1" l="1"/>
  <c r="D472" i="1"/>
  <c r="E472" i="1" s="1"/>
  <c r="D474" i="1"/>
  <c r="E474" i="1" s="1"/>
  <c r="C472" i="1"/>
  <c r="C473" i="1"/>
  <c r="D473" i="1"/>
  <c r="E473" i="1" s="1"/>
  <c r="B476" i="1"/>
  <c r="C540" i="1"/>
  <c r="B543" i="1"/>
  <c r="B479" i="1" l="1"/>
  <c r="D476" i="1"/>
  <c r="E476" i="1" s="1"/>
  <c r="C476" i="1"/>
  <c r="C543" i="1"/>
  <c r="B546" i="1"/>
  <c r="D475" i="1"/>
  <c r="E475" i="1" s="1"/>
  <c r="D477" i="1"/>
  <c r="E477" i="1" s="1"/>
  <c r="C475" i="1"/>
  <c r="B478" i="1"/>
  <c r="D478" i="1" l="1"/>
  <c r="E478" i="1" s="1"/>
  <c r="D480" i="1"/>
  <c r="E480" i="1" s="1"/>
  <c r="B481" i="1"/>
  <c r="C478" i="1"/>
  <c r="B549" i="1"/>
  <c r="C546" i="1"/>
  <c r="D479" i="1"/>
  <c r="E479" i="1" s="1"/>
  <c r="B482" i="1"/>
  <c r="C479" i="1"/>
  <c r="D482" i="1" l="1"/>
  <c r="E482" i="1" s="1"/>
  <c r="B485" i="1"/>
  <c r="C482" i="1"/>
  <c r="D481" i="1"/>
  <c r="E481" i="1" s="1"/>
  <c r="D483" i="1"/>
  <c r="E483" i="1" s="1"/>
  <c r="C481" i="1"/>
  <c r="B484" i="1"/>
  <c r="C549" i="1"/>
  <c r="B552" i="1"/>
  <c r="D484" i="1" l="1"/>
  <c r="E484" i="1" s="1"/>
  <c r="D486" i="1"/>
  <c r="E486" i="1" s="1"/>
  <c r="B487" i="1"/>
  <c r="C484" i="1"/>
  <c r="D485" i="1"/>
  <c r="E485" i="1" s="1"/>
  <c r="C485" i="1"/>
  <c r="B488" i="1"/>
  <c r="B555" i="1"/>
  <c r="C552" i="1"/>
  <c r="B558" i="1" l="1"/>
  <c r="C555" i="1"/>
  <c r="D487" i="1"/>
  <c r="E487" i="1" s="1"/>
  <c r="D489" i="1"/>
  <c r="E489" i="1" s="1"/>
  <c r="C487" i="1"/>
  <c r="B490" i="1"/>
  <c r="D488" i="1"/>
  <c r="E488" i="1" s="1"/>
  <c r="C488" i="1"/>
  <c r="B491" i="1"/>
  <c r="D492" i="1" l="1"/>
  <c r="E492" i="1" s="1"/>
  <c r="D490" i="1"/>
  <c r="E490" i="1" s="1"/>
  <c r="B493" i="1"/>
  <c r="C490" i="1"/>
  <c r="D491" i="1"/>
  <c r="E491" i="1" s="1"/>
  <c r="B494" i="1"/>
  <c r="C491" i="1"/>
  <c r="B561" i="1"/>
  <c r="C558" i="1"/>
  <c r="B564" i="1" l="1"/>
  <c r="C561" i="1"/>
  <c r="D494" i="1"/>
  <c r="E494" i="1" s="1"/>
  <c r="B497" i="1"/>
  <c r="C494" i="1"/>
  <c r="D495" i="1"/>
  <c r="E495" i="1" s="1"/>
  <c r="D493" i="1"/>
  <c r="E493" i="1" s="1"/>
  <c r="B496" i="1"/>
  <c r="C493" i="1"/>
  <c r="D498" i="1" l="1"/>
  <c r="E498" i="1" s="1"/>
  <c r="D496" i="1"/>
  <c r="E496" i="1" s="1"/>
  <c r="C496" i="1"/>
  <c r="B499" i="1"/>
  <c r="D497" i="1"/>
  <c r="E497" i="1" s="1"/>
  <c r="B500" i="1"/>
  <c r="C497" i="1"/>
  <c r="B567" i="1"/>
  <c r="C564" i="1"/>
  <c r="C567" i="1" l="1"/>
  <c r="B570" i="1"/>
  <c r="D501" i="1"/>
  <c r="E501" i="1" s="1"/>
  <c r="D499" i="1"/>
  <c r="E499" i="1" s="1"/>
  <c r="B502" i="1"/>
  <c r="C499" i="1"/>
  <c r="D500" i="1"/>
  <c r="E500" i="1" s="1"/>
  <c r="B503" i="1"/>
  <c r="C500" i="1"/>
  <c r="C570" i="1" l="1"/>
  <c r="B573" i="1"/>
  <c r="D503" i="1"/>
  <c r="E503" i="1" s="1"/>
  <c r="B506" i="1"/>
  <c r="C503" i="1"/>
  <c r="D502" i="1"/>
  <c r="E502" i="1" s="1"/>
  <c r="D504" i="1"/>
  <c r="E504" i="1" s="1"/>
  <c r="C502" i="1"/>
  <c r="B505" i="1"/>
  <c r="B576" i="1" l="1"/>
  <c r="C573" i="1"/>
  <c r="C506" i="1"/>
  <c r="D506" i="1"/>
  <c r="E506" i="1" s="1"/>
  <c r="B509" i="1"/>
  <c r="C505" i="1"/>
  <c r="D505" i="1"/>
  <c r="E505" i="1" s="1"/>
  <c r="B508" i="1"/>
  <c r="D507" i="1"/>
  <c r="E507" i="1" s="1"/>
  <c r="B511" i="1" l="1"/>
  <c r="D508" i="1"/>
  <c r="E508" i="1" s="1"/>
  <c r="D510" i="1"/>
  <c r="E510" i="1" s="1"/>
  <c r="C508" i="1"/>
  <c r="C509" i="1"/>
  <c r="D509" i="1"/>
  <c r="E509" i="1" s="1"/>
  <c r="B512" i="1"/>
  <c r="C576" i="1"/>
  <c r="B579" i="1"/>
  <c r="C512" i="1" l="1"/>
  <c r="F1" i="2" s="1"/>
  <c r="D512" i="1"/>
  <c r="E512" i="1" s="1"/>
  <c r="B515" i="1"/>
  <c r="C579" i="1"/>
  <c r="B582" i="1"/>
  <c r="D513" i="1"/>
  <c r="E513" i="1" s="1"/>
  <c r="D511" i="1"/>
  <c r="E511" i="1" s="1"/>
  <c r="C511" i="1"/>
  <c r="B514" i="1"/>
  <c r="D514" i="1" l="1"/>
  <c r="E514" i="1" s="1"/>
  <c r="D516" i="1"/>
  <c r="E516" i="1" s="1"/>
  <c r="B517" i="1"/>
  <c r="C514" i="1"/>
  <c r="B585" i="1"/>
  <c r="C582" i="1"/>
  <c r="D515" i="1"/>
  <c r="E515" i="1" s="1"/>
  <c r="C515" i="1"/>
  <c r="B518" i="1"/>
  <c r="H2" i="2"/>
  <c r="H3" i="2"/>
  <c r="I23" i="2"/>
  <c r="K5" i="2" s="1"/>
  <c r="I18" i="2"/>
  <c r="H23" i="2"/>
  <c r="J5" i="2" s="1"/>
  <c r="H25" i="2"/>
  <c r="J7" i="2" s="1"/>
  <c r="H22" i="2"/>
  <c r="J4" i="2" s="1"/>
  <c r="H9" i="2"/>
  <c r="H15" i="2"/>
  <c r="H24" i="2"/>
  <c r="J6" i="2" s="1"/>
  <c r="H20" i="2"/>
  <c r="J2" i="2" s="1"/>
  <c r="I28" i="2"/>
  <c r="K10" i="2" s="1"/>
  <c r="I4" i="2"/>
  <c r="H29" i="2"/>
  <c r="J11" i="2" s="1"/>
  <c r="H32" i="2"/>
  <c r="J14" i="2" s="1"/>
  <c r="I2" i="2"/>
  <c r="H37" i="2"/>
  <c r="J19" i="2" s="1"/>
  <c r="H6" i="2"/>
  <c r="H19" i="2"/>
  <c r="I37" i="2"/>
  <c r="K19" i="2" s="1"/>
  <c r="H30" i="2"/>
  <c r="J12" i="2" s="1"/>
  <c r="I27" i="2"/>
  <c r="K9" i="2" s="1"/>
  <c r="I32" i="2"/>
  <c r="K14" i="2" s="1"/>
  <c r="I24" i="2"/>
  <c r="K6" i="2" s="1"/>
  <c r="H13" i="2"/>
  <c r="H17" i="2"/>
  <c r="H12" i="2"/>
  <c r="I36" i="2"/>
  <c r="K18" i="2" s="1"/>
  <c r="I10" i="2"/>
  <c r="H26" i="2"/>
  <c r="J8" i="2" s="1"/>
  <c r="I35" i="2"/>
  <c r="K17" i="2" s="1"/>
  <c r="H8" i="2"/>
  <c r="H7" i="2"/>
  <c r="I26" i="2"/>
  <c r="K8" i="2" s="1"/>
  <c r="I29" i="2"/>
  <c r="K11" i="2" s="1"/>
  <c r="H16" i="2"/>
  <c r="I14" i="2"/>
  <c r="I16" i="2"/>
  <c r="H34" i="2"/>
  <c r="J16" i="2" s="1"/>
  <c r="H28" i="2"/>
  <c r="J10" i="2" s="1"/>
  <c r="I8" i="2"/>
  <c r="H35" i="2"/>
  <c r="J17" i="2" s="1"/>
  <c r="H36" i="2"/>
  <c r="J18" i="2" s="1"/>
  <c r="H33" i="2"/>
  <c r="J15" i="2" s="1"/>
  <c r="H18" i="2"/>
  <c r="H5" i="2"/>
  <c r="H4" i="2"/>
  <c r="I17" i="2"/>
  <c r="I19" i="2"/>
  <c r="I22" i="2"/>
  <c r="K4" i="2" s="1"/>
  <c r="H10" i="2"/>
  <c r="H21" i="2"/>
  <c r="J3" i="2" s="1"/>
  <c r="H11" i="2"/>
  <c r="H14" i="2"/>
  <c r="I3" i="2"/>
  <c r="H31" i="2"/>
  <c r="J13" i="2" s="1"/>
  <c r="H27" i="2"/>
  <c r="J9" i="2" s="1"/>
  <c r="I30" i="2"/>
  <c r="K12" i="2" s="1"/>
  <c r="I21" i="2"/>
  <c r="K3" i="2" s="1"/>
  <c r="D517" i="1" l="1"/>
  <c r="E517" i="1" s="1"/>
  <c r="D519" i="1"/>
  <c r="E519" i="1" s="1"/>
  <c r="C517" i="1"/>
  <c r="B520" i="1"/>
  <c r="D518" i="1"/>
  <c r="E518" i="1" s="1"/>
  <c r="C518" i="1"/>
  <c r="B521" i="1"/>
  <c r="C585" i="1"/>
  <c r="B588" i="1"/>
  <c r="D520" i="1" l="1"/>
  <c r="E520" i="1" s="1"/>
  <c r="D522" i="1"/>
  <c r="E522" i="1" s="1"/>
  <c r="B523" i="1"/>
  <c r="C520" i="1"/>
  <c r="D521" i="1"/>
  <c r="E521" i="1" s="1"/>
  <c r="C521" i="1"/>
  <c r="B524" i="1"/>
  <c r="B591" i="1"/>
  <c r="C588" i="1"/>
  <c r="B594" i="1" l="1"/>
  <c r="C591" i="1"/>
  <c r="D524" i="1"/>
  <c r="E524" i="1" s="1"/>
  <c r="C524" i="1"/>
  <c r="B527" i="1"/>
  <c r="D523" i="1"/>
  <c r="E523" i="1" s="1"/>
  <c r="D525" i="1"/>
  <c r="E525" i="1" s="1"/>
  <c r="C523" i="1"/>
  <c r="B526" i="1"/>
  <c r="D526" i="1" l="1"/>
  <c r="E526" i="1" s="1"/>
  <c r="D528" i="1"/>
  <c r="E528" i="1" s="1"/>
  <c r="C526" i="1"/>
  <c r="B529" i="1"/>
  <c r="D527" i="1"/>
  <c r="E527" i="1" s="1"/>
  <c r="C527" i="1"/>
  <c r="B530" i="1"/>
  <c r="B597" i="1"/>
  <c r="C594" i="1"/>
  <c r="C597" i="1" l="1"/>
  <c r="B600" i="1"/>
  <c r="D529" i="1"/>
  <c r="E529" i="1" s="1"/>
  <c r="D531" i="1"/>
  <c r="E531" i="1" s="1"/>
  <c r="B532" i="1"/>
  <c r="C529" i="1"/>
  <c r="D530" i="1"/>
  <c r="E530" i="1" s="1"/>
  <c r="C530" i="1"/>
  <c r="B533" i="1"/>
  <c r="B603" i="1" l="1"/>
  <c r="C600" i="1"/>
  <c r="D533" i="1"/>
  <c r="E533" i="1" s="1"/>
  <c r="C533" i="1"/>
  <c r="B536" i="1"/>
  <c r="D534" i="1"/>
  <c r="E534" i="1" s="1"/>
  <c r="D532" i="1"/>
  <c r="E532" i="1" s="1"/>
  <c r="C532" i="1"/>
  <c r="B535" i="1"/>
  <c r="D537" i="1" l="1"/>
  <c r="E537" i="1" s="1"/>
  <c r="D535" i="1"/>
  <c r="E535" i="1" s="1"/>
  <c r="B538" i="1"/>
  <c r="C535" i="1"/>
  <c r="D536" i="1"/>
  <c r="E536" i="1" s="1"/>
  <c r="C536" i="1"/>
  <c r="B539" i="1"/>
  <c r="B606" i="1"/>
  <c r="C603" i="1"/>
  <c r="B609" i="1" l="1"/>
  <c r="C606" i="1"/>
  <c r="D539" i="1"/>
  <c r="E539" i="1" s="1"/>
  <c r="B542" i="1"/>
  <c r="C539" i="1"/>
  <c r="D540" i="1"/>
  <c r="E540" i="1" s="1"/>
  <c r="D538" i="1"/>
  <c r="E538" i="1" s="1"/>
  <c r="B541" i="1"/>
  <c r="C538" i="1"/>
  <c r="C542" i="1" l="1"/>
  <c r="D542" i="1"/>
  <c r="E542" i="1" s="1"/>
  <c r="B545" i="1"/>
  <c r="C541" i="1"/>
  <c r="D541" i="1"/>
  <c r="E541" i="1" s="1"/>
  <c r="D543" i="1"/>
  <c r="E543" i="1" s="1"/>
  <c r="B544" i="1"/>
  <c r="B612" i="1"/>
  <c r="C609" i="1"/>
  <c r="C612" i="1" l="1"/>
  <c r="B615" i="1"/>
  <c r="B547" i="1"/>
  <c r="D544" i="1"/>
  <c r="E544" i="1" s="1"/>
  <c r="D546" i="1"/>
  <c r="E546" i="1" s="1"/>
  <c r="C544" i="1"/>
  <c r="C545" i="1"/>
  <c r="D545" i="1"/>
  <c r="E545" i="1" s="1"/>
  <c r="B548" i="1"/>
  <c r="D547" i="1" l="1"/>
  <c r="E547" i="1" s="1"/>
  <c r="D549" i="1"/>
  <c r="E549" i="1" s="1"/>
  <c r="B550" i="1"/>
  <c r="C547" i="1"/>
  <c r="C615" i="1"/>
  <c r="B618" i="1"/>
  <c r="B551" i="1"/>
  <c r="D548" i="1"/>
  <c r="E548" i="1" s="1"/>
  <c r="C548" i="1"/>
  <c r="D551" i="1" l="1"/>
  <c r="E551" i="1" s="1"/>
  <c r="B554" i="1"/>
  <c r="C551" i="1"/>
  <c r="D550" i="1"/>
  <c r="E550" i="1" s="1"/>
  <c r="D552" i="1"/>
  <c r="E552" i="1" s="1"/>
  <c r="C550" i="1"/>
  <c r="B553" i="1"/>
  <c r="B621" i="1"/>
  <c r="C618" i="1"/>
  <c r="D553" i="1" l="1"/>
  <c r="E553" i="1" s="1"/>
  <c r="D555" i="1"/>
  <c r="E555" i="1" s="1"/>
  <c r="C553" i="1"/>
  <c r="B556" i="1"/>
  <c r="B624" i="1"/>
  <c r="C621" i="1"/>
  <c r="D554" i="1"/>
  <c r="E554" i="1" s="1"/>
  <c r="B557" i="1"/>
  <c r="C554" i="1"/>
  <c r="D558" i="1" l="1"/>
  <c r="E558" i="1" s="1"/>
  <c r="D556" i="1"/>
  <c r="E556" i="1" s="1"/>
  <c r="B559" i="1"/>
  <c r="C556" i="1"/>
  <c r="D557" i="1"/>
  <c r="E557" i="1" s="1"/>
  <c r="C557" i="1"/>
  <c r="B560" i="1"/>
  <c r="B627" i="1"/>
  <c r="C624" i="1"/>
  <c r="C627" i="1" l="1"/>
  <c r="B630" i="1"/>
  <c r="D560" i="1"/>
  <c r="E560" i="1" s="1"/>
  <c r="C560" i="1"/>
  <c r="B563" i="1"/>
  <c r="D561" i="1"/>
  <c r="E561" i="1" s="1"/>
  <c r="D559" i="1"/>
  <c r="E559" i="1" s="1"/>
  <c r="C559" i="1"/>
  <c r="B562" i="1"/>
  <c r="B633" i="1" l="1"/>
  <c r="C630" i="1"/>
  <c r="D562" i="1"/>
  <c r="E562" i="1" s="1"/>
  <c r="D564" i="1"/>
  <c r="E564" i="1" s="1"/>
  <c r="B565" i="1"/>
  <c r="C562" i="1"/>
  <c r="D563" i="1"/>
  <c r="E563" i="1" s="1"/>
  <c r="C563" i="1"/>
  <c r="B566" i="1"/>
  <c r="D566" i="1" l="1"/>
  <c r="E566" i="1" s="1"/>
  <c r="B569" i="1"/>
  <c r="C566" i="1"/>
  <c r="D565" i="1"/>
  <c r="E565" i="1" s="1"/>
  <c r="D567" i="1"/>
  <c r="E567" i="1" s="1"/>
  <c r="B568" i="1"/>
  <c r="C565" i="1"/>
  <c r="C633" i="1"/>
  <c r="B636" i="1"/>
  <c r="B639" i="1" l="1"/>
  <c r="C636" i="1"/>
  <c r="D568" i="1"/>
  <c r="E568" i="1" s="1"/>
  <c r="D570" i="1"/>
  <c r="E570" i="1" s="1"/>
  <c r="C568" i="1"/>
  <c r="B571" i="1"/>
  <c r="D569" i="1"/>
  <c r="E569" i="1" s="1"/>
  <c r="B572" i="1"/>
  <c r="C569" i="1"/>
  <c r="D571" i="1" l="1"/>
  <c r="E571" i="1" s="1"/>
  <c r="D573" i="1"/>
  <c r="E573" i="1" s="1"/>
  <c r="B574" i="1"/>
  <c r="C571" i="1"/>
  <c r="D572" i="1"/>
  <c r="E572" i="1" s="1"/>
  <c r="C572" i="1"/>
  <c r="B575" i="1"/>
  <c r="C639" i="1"/>
  <c r="B642" i="1"/>
  <c r="D575" i="1" l="1"/>
  <c r="E575" i="1" s="1"/>
  <c r="B578" i="1"/>
  <c r="C575" i="1"/>
  <c r="D574" i="1"/>
  <c r="E574" i="1" s="1"/>
  <c r="D576" i="1"/>
  <c r="E576" i="1" s="1"/>
  <c r="B577" i="1"/>
  <c r="C574" i="1"/>
  <c r="C642" i="1"/>
  <c r="B645" i="1"/>
  <c r="B648" i="1" l="1"/>
  <c r="C645" i="1"/>
  <c r="C577" i="1"/>
  <c r="D577" i="1"/>
  <c r="E577" i="1" s="1"/>
  <c r="D579" i="1"/>
  <c r="E579" i="1" s="1"/>
  <c r="B580" i="1"/>
  <c r="C578" i="1"/>
  <c r="D578" i="1"/>
  <c r="E578" i="1" s="1"/>
  <c r="B581" i="1"/>
  <c r="B583" i="1" l="1"/>
  <c r="D582" i="1"/>
  <c r="E582" i="1" s="1"/>
  <c r="D580" i="1"/>
  <c r="E580" i="1" s="1"/>
  <c r="C580" i="1"/>
  <c r="C581" i="1"/>
  <c r="D581" i="1"/>
  <c r="E581" i="1" s="1"/>
  <c r="B584" i="1"/>
  <c r="C648" i="1"/>
  <c r="B651" i="1"/>
  <c r="B587" i="1" l="1"/>
  <c r="D584" i="1"/>
  <c r="E584" i="1" s="1"/>
  <c r="C584" i="1"/>
  <c r="C651" i="1"/>
  <c r="B654" i="1"/>
  <c r="D585" i="1"/>
  <c r="E585" i="1" s="1"/>
  <c r="D583" i="1"/>
  <c r="E583" i="1" s="1"/>
  <c r="B586" i="1"/>
  <c r="C583" i="1"/>
  <c r="D588" i="1" l="1"/>
  <c r="E588" i="1" s="1"/>
  <c r="D586" i="1"/>
  <c r="E586" i="1" s="1"/>
  <c r="B589" i="1"/>
  <c r="C586" i="1"/>
  <c r="C654" i="1"/>
  <c r="B657" i="1"/>
  <c r="D587" i="1"/>
  <c r="E587" i="1" s="1"/>
  <c r="B590" i="1"/>
  <c r="C587" i="1"/>
  <c r="D589" i="1" l="1"/>
  <c r="E589" i="1" s="1"/>
  <c r="D591" i="1"/>
  <c r="E591" i="1" s="1"/>
  <c r="C589" i="1"/>
  <c r="B592" i="1"/>
  <c r="D590" i="1"/>
  <c r="E590" i="1" s="1"/>
  <c r="B593" i="1"/>
  <c r="C590" i="1"/>
  <c r="C657" i="1"/>
  <c r="B660" i="1"/>
  <c r="D592" i="1" l="1"/>
  <c r="E592" i="1" s="1"/>
  <c r="D594" i="1"/>
  <c r="E594" i="1" s="1"/>
  <c r="C592" i="1"/>
  <c r="B595" i="1"/>
  <c r="B663" i="1"/>
  <c r="C660" i="1"/>
  <c r="D593" i="1"/>
  <c r="E593" i="1" s="1"/>
  <c r="C593" i="1"/>
  <c r="B596" i="1"/>
  <c r="D595" i="1" l="1"/>
  <c r="E595" i="1" s="1"/>
  <c r="D597" i="1"/>
  <c r="E597" i="1" s="1"/>
  <c r="C595" i="1"/>
  <c r="B598" i="1"/>
  <c r="D596" i="1"/>
  <c r="E596" i="1" s="1"/>
  <c r="B599" i="1"/>
  <c r="C596" i="1"/>
  <c r="C663" i="1"/>
  <c r="B666" i="1"/>
  <c r="C666" i="1" l="1"/>
  <c r="B669" i="1"/>
  <c r="D598" i="1"/>
  <c r="E598" i="1" s="1"/>
  <c r="D600" i="1"/>
  <c r="E600" i="1" s="1"/>
  <c r="B601" i="1"/>
  <c r="C598" i="1"/>
  <c r="D599" i="1"/>
  <c r="E599" i="1" s="1"/>
  <c r="C599" i="1"/>
  <c r="B602" i="1"/>
  <c r="C669" i="1" l="1"/>
  <c r="B672" i="1"/>
  <c r="D602" i="1"/>
  <c r="E602" i="1" s="1"/>
  <c r="B605" i="1"/>
  <c r="C602" i="1"/>
  <c r="D601" i="1"/>
  <c r="E601" i="1" s="1"/>
  <c r="D603" i="1"/>
  <c r="E603" i="1" s="1"/>
  <c r="B604" i="1"/>
  <c r="C601" i="1"/>
  <c r="D605" i="1" l="1"/>
  <c r="E605" i="1" s="1"/>
  <c r="B608" i="1"/>
  <c r="C605" i="1"/>
  <c r="C672" i="1"/>
  <c r="B675" i="1"/>
  <c r="D606" i="1"/>
  <c r="E606" i="1" s="1"/>
  <c r="D604" i="1"/>
  <c r="E604" i="1" s="1"/>
  <c r="C604" i="1"/>
  <c r="B607" i="1"/>
  <c r="D608" i="1" l="1"/>
  <c r="E608" i="1" s="1"/>
  <c r="C608" i="1"/>
  <c r="B611" i="1"/>
  <c r="D609" i="1"/>
  <c r="E609" i="1" s="1"/>
  <c r="D607" i="1"/>
  <c r="E607" i="1" s="1"/>
  <c r="B610" i="1"/>
  <c r="C607" i="1"/>
  <c r="B678" i="1"/>
  <c r="C675" i="1"/>
  <c r="C678" i="1" l="1"/>
  <c r="B681" i="1"/>
  <c r="D611" i="1"/>
  <c r="E611" i="1" s="1"/>
  <c r="B614" i="1"/>
  <c r="C611" i="1"/>
  <c r="D610" i="1"/>
  <c r="E610" i="1" s="1"/>
  <c r="D612" i="1"/>
  <c r="E612" i="1" s="1"/>
  <c r="B613" i="1"/>
  <c r="C610" i="1"/>
  <c r="C613" i="1" l="1"/>
  <c r="D613" i="1"/>
  <c r="E613" i="1" s="1"/>
  <c r="D615" i="1"/>
  <c r="E615" i="1" s="1"/>
  <c r="B616" i="1"/>
  <c r="C614" i="1"/>
  <c r="D614" i="1"/>
  <c r="E614" i="1" s="1"/>
  <c r="B617" i="1"/>
  <c r="B684" i="1"/>
  <c r="C681" i="1"/>
  <c r="B619" i="1" l="1"/>
  <c r="D616" i="1"/>
  <c r="E616" i="1" s="1"/>
  <c r="D618" i="1"/>
  <c r="E618" i="1" s="1"/>
  <c r="C616" i="1"/>
  <c r="B687" i="1"/>
  <c r="C684" i="1"/>
  <c r="C617" i="1"/>
  <c r="D617" i="1"/>
  <c r="E617" i="1" s="1"/>
  <c r="B620" i="1"/>
  <c r="B623" i="1" l="1"/>
  <c r="D620" i="1"/>
  <c r="E620" i="1" s="1"/>
  <c r="C620" i="1"/>
  <c r="C687" i="1"/>
  <c r="B690" i="1"/>
  <c r="D621" i="1"/>
  <c r="E621" i="1" s="1"/>
  <c r="D619" i="1"/>
  <c r="E619" i="1" s="1"/>
  <c r="C619" i="1"/>
  <c r="B622" i="1"/>
  <c r="D624" i="1" l="1"/>
  <c r="E624" i="1" s="1"/>
  <c r="D622" i="1"/>
  <c r="E622" i="1" s="1"/>
  <c r="C622" i="1"/>
  <c r="B625" i="1"/>
  <c r="B693" i="1"/>
  <c r="C690" i="1"/>
  <c r="D623" i="1"/>
  <c r="E623" i="1" s="1"/>
  <c r="C623" i="1"/>
  <c r="B626" i="1"/>
  <c r="D625" i="1" l="1"/>
  <c r="E625" i="1" s="1"/>
  <c r="D627" i="1"/>
  <c r="E627" i="1" s="1"/>
  <c r="C625" i="1"/>
  <c r="B628" i="1"/>
  <c r="D626" i="1"/>
  <c r="E626" i="1" s="1"/>
  <c r="B629" i="1"/>
  <c r="C626" i="1"/>
  <c r="C693" i="1"/>
  <c r="B696" i="1"/>
  <c r="B699" i="1" l="1"/>
  <c r="C696" i="1"/>
  <c r="D628" i="1"/>
  <c r="E628" i="1" s="1"/>
  <c r="D630" i="1"/>
  <c r="E630" i="1" s="1"/>
  <c r="B631" i="1"/>
  <c r="C628" i="1"/>
  <c r="D629" i="1"/>
  <c r="E629" i="1" s="1"/>
  <c r="B632" i="1"/>
  <c r="C629" i="1"/>
  <c r="D632" i="1" l="1"/>
  <c r="E632" i="1" s="1"/>
  <c r="B635" i="1"/>
  <c r="C632" i="1"/>
  <c r="D631" i="1"/>
  <c r="E631" i="1" s="1"/>
  <c r="D633" i="1"/>
  <c r="E633" i="1" s="1"/>
  <c r="C631" i="1"/>
  <c r="B634" i="1"/>
  <c r="C699" i="1"/>
  <c r="B702" i="1"/>
  <c r="B705" i="1" l="1"/>
  <c r="C702" i="1"/>
  <c r="D634" i="1"/>
  <c r="E634" i="1" s="1"/>
  <c r="D636" i="1"/>
  <c r="E636" i="1" s="1"/>
  <c r="B637" i="1"/>
  <c r="C634" i="1"/>
  <c r="D635" i="1"/>
  <c r="E635" i="1" s="1"/>
  <c r="B638" i="1"/>
  <c r="C635" i="1"/>
  <c r="D638" i="1" l="1"/>
  <c r="E638" i="1" s="1"/>
  <c r="B641" i="1"/>
  <c r="C638" i="1"/>
  <c r="D637" i="1"/>
  <c r="E637" i="1" s="1"/>
  <c r="D639" i="1"/>
  <c r="E639" i="1" s="1"/>
  <c r="B640" i="1"/>
  <c r="C637" i="1"/>
  <c r="B708" i="1"/>
  <c r="C705" i="1"/>
  <c r="B711" i="1" l="1"/>
  <c r="C708" i="1"/>
  <c r="D640" i="1"/>
  <c r="E640" i="1" s="1"/>
  <c r="D642" i="1"/>
  <c r="E642" i="1" s="1"/>
  <c r="C640" i="1"/>
  <c r="B643" i="1"/>
  <c r="D641" i="1"/>
  <c r="E641" i="1" s="1"/>
  <c r="C641" i="1"/>
  <c r="B644" i="1"/>
  <c r="D645" i="1" l="1"/>
  <c r="E645" i="1" s="1"/>
  <c r="D643" i="1"/>
  <c r="E643" i="1" s="1"/>
  <c r="B646" i="1"/>
  <c r="C643" i="1"/>
  <c r="D644" i="1"/>
  <c r="E644" i="1" s="1"/>
  <c r="C644" i="1"/>
  <c r="B647" i="1"/>
  <c r="B714" i="1"/>
  <c r="C711" i="1"/>
  <c r="C714" i="1" l="1"/>
  <c r="B717" i="1"/>
  <c r="D647" i="1"/>
  <c r="E647" i="1" s="1"/>
  <c r="B650" i="1"/>
  <c r="C647" i="1"/>
  <c r="D648" i="1"/>
  <c r="E648" i="1" s="1"/>
  <c r="D646" i="1"/>
  <c r="E646" i="1" s="1"/>
  <c r="B649" i="1"/>
  <c r="C646" i="1"/>
  <c r="B720" i="1" l="1"/>
  <c r="C717" i="1"/>
  <c r="C649" i="1"/>
  <c r="D649" i="1"/>
  <c r="E649" i="1" s="1"/>
  <c r="B652" i="1"/>
  <c r="D651" i="1"/>
  <c r="E651" i="1" s="1"/>
  <c r="C650" i="1"/>
  <c r="D650" i="1"/>
  <c r="E650" i="1" s="1"/>
  <c r="B653" i="1"/>
  <c r="C653" i="1" l="1"/>
  <c r="D653" i="1"/>
  <c r="E653" i="1" s="1"/>
  <c r="B656" i="1"/>
  <c r="B655" i="1"/>
  <c r="D652" i="1"/>
  <c r="E652" i="1" s="1"/>
  <c r="D654" i="1"/>
  <c r="E654" i="1" s="1"/>
  <c r="C652" i="1"/>
  <c r="C720" i="1"/>
  <c r="B723" i="1"/>
  <c r="D655" i="1" l="1"/>
  <c r="E655" i="1" s="1"/>
  <c r="D657" i="1"/>
  <c r="E657" i="1" s="1"/>
  <c r="B658" i="1"/>
  <c r="C655" i="1"/>
  <c r="B659" i="1"/>
  <c r="D656" i="1"/>
  <c r="E656" i="1" s="1"/>
  <c r="C656" i="1"/>
  <c r="C723" i="1"/>
  <c r="B726" i="1"/>
  <c r="D658" i="1" l="1"/>
  <c r="E658" i="1" s="1"/>
  <c r="D660" i="1"/>
  <c r="E660" i="1" s="1"/>
  <c r="C658" i="1"/>
  <c r="B661" i="1"/>
  <c r="B729" i="1"/>
  <c r="C726" i="1"/>
  <c r="D659" i="1"/>
  <c r="E659" i="1" s="1"/>
  <c r="C659" i="1"/>
  <c r="B662" i="1"/>
  <c r="D661" i="1" l="1"/>
  <c r="E661" i="1" s="1"/>
  <c r="D663" i="1"/>
  <c r="E663" i="1" s="1"/>
  <c r="C661" i="1"/>
  <c r="B664" i="1"/>
  <c r="D662" i="1"/>
  <c r="E662" i="1" s="1"/>
  <c r="C662" i="1"/>
  <c r="B665" i="1"/>
  <c r="B732" i="1"/>
  <c r="C729" i="1"/>
  <c r="B735" i="1" l="1"/>
  <c r="C732" i="1"/>
  <c r="D664" i="1"/>
  <c r="E664" i="1" s="1"/>
  <c r="D666" i="1"/>
  <c r="E666" i="1" s="1"/>
  <c r="B667" i="1"/>
  <c r="C664" i="1"/>
  <c r="D665" i="1"/>
  <c r="E665" i="1" s="1"/>
  <c r="C665" i="1"/>
  <c r="B668" i="1"/>
  <c r="D668" i="1" l="1"/>
  <c r="E668" i="1" s="1"/>
  <c r="B671" i="1"/>
  <c r="C668" i="1"/>
  <c r="D667" i="1"/>
  <c r="E667" i="1" s="1"/>
  <c r="D669" i="1"/>
  <c r="E669" i="1" s="1"/>
  <c r="C667" i="1"/>
  <c r="B670" i="1"/>
  <c r="C735" i="1"/>
  <c r="B738" i="1"/>
  <c r="B741" i="1" l="1"/>
  <c r="C738" i="1"/>
  <c r="D670" i="1"/>
  <c r="E670" i="1" s="1"/>
  <c r="D672" i="1"/>
  <c r="E672" i="1" s="1"/>
  <c r="C670" i="1"/>
  <c r="B673" i="1"/>
  <c r="D671" i="1"/>
  <c r="E671" i="1" s="1"/>
  <c r="C671" i="1"/>
  <c r="B674" i="1"/>
  <c r="D673" i="1" l="1"/>
  <c r="E673" i="1" s="1"/>
  <c r="D675" i="1"/>
  <c r="E675" i="1" s="1"/>
  <c r="B676" i="1"/>
  <c r="C673" i="1"/>
  <c r="D674" i="1"/>
  <c r="E674" i="1" s="1"/>
  <c r="C674" i="1"/>
  <c r="B677" i="1"/>
  <c r="C741" i="1"/>
  <c r="B744" i="1"/>
  <c r="D677" i="1" l="1"/>
  <c r="E677" i="1" s="1"/>
  <c r="B680" i="1"/>
  <c r="C677" i="1"/>
  <c r="D676" i="1"/>
  <c r="E676" i="1" s="1"/>
  <c r="D678" i="1"/>
  <c r="E678" i="1" s="1"/>
  <c r="B679" i="1"/>
  <c r="C676" i="1"/>
  <c r="C744" i="1"/>
  <c r="B747" i="1"/>
  <c r="B750" i="1" l="1"/>
  <c r="C747" i="1"/>
  <c r="D679" i="1"/>
  <c r="E679" i="1" s="1"/>
  <c r="D681" i="1"/>
  <c r="E681" i="1" s="1"/>
  <c r="B682" i="1"/>
  <c r="C679" i="1"/>
  <c r="D680" i="1"/>
  <c r="E680" i="1" s="1"/>
  <c r="C680" i="1"/>
  <c r="B683" i="1"/>
  <c r="D683" i="1" l="1"/>
  <c r="E683" i="1" s="1"/>
  <c r="B686" i="1"/>
  <c r="C683" i="1"/>
  <c r="D682" i="1"/>
  <c r="E682" i="1" s="1"/>
  <c r="D684" i="1"/>
  <c r="E684" i="1" s="1"/>
  <c r="B685" i="1"/>
  <c r="C682" i="1"/>
  <c r="C750" i="1"/>
  <c r="B753" i="1"/>
  <c r="B756" i="1" l="1"/>
  <c r="C753" i="1"/>
  <c r="C685" i="1"/>
  <c r="D685" i="1"/>
  <c r="E685" i="1" s="1"/>
  <c r="D687" i="1"/>
  <c r="E687" i="1" s="1"/>
  <c r="B688" i="1"/>
  <c r="C686" i="1"/>
  <c r="D686" i="1"/>
  <c r="E686" i="1" s="1"/>
  <c r="B689" i="1"/>
  <c r="B691" i="1" l="1"/>
  <c r="D688" i="1"/>
  <c r="E688" i="1" s="1"/>
  <c r="D690" i="1"/>
  <c r="E690" i="1" s="1"/>
  <c r="C688" i="1"/>
  <c r="C689" i="1"/>
  <c r="D689" i="1"/>
  <c r="E689" i="1" s="1"/>
  <c r="B692" i="1"/>
  <c r="C756" i="1"/>
  <c r="B759" i="1"/>
  <c r="D692" i="1" l="1"/>
  <c r="E692" i="1" s="1"/>
  <c r="C692" i="1"/>
  <c r="B695" i="1"/>
  <c r="C759" i="1"/>
  <c r="B762" i="1"/>
  <c r="D693" i="1"/>
  <c r="E693" i="1" s="1"/>
  <c r="D691" i="1"/>
  <c r="E691" i="1" s="1"/>
  <c r="B694" i="1"/>
  <c r="C691" i="1"/>
  <c r="D695" i="1" l="1"/>
  <c r="E695" i="1" s="1"/>
  <c r="C695" i="1"/>
  <c r="B698" i="1"/>
  <c r="D696" i="1"/>
  <c r="E696" i="1" s="1"/>
  <c r="D694" i="1"/>
  <c r="E694" i="1" s="1"/>
  <c r="B697" i="1"/>
  <c r="C694" i="1"/>
  <c r="B765" i="1"/>
  <c r="C762" i="1"/>
  <c r="D698" i="1" l="1"/>
  <c r="E698" i="1" s="1"/>
  <c r="C698" i="1"/>
  <c r="B701" i="1"/>
  <c r="B768" i="1"/>
  <c r="C765" i="1"/>
  <c r="D697" i="1"/>
  <c r="E697" i="1" s="1"/>
  <c r="D699" i="1"/>
  <c r="E699" i="1" s="1"/>
  <c r="C697" i="1"/>
  <c r="B700" i="1"/>
  <c r="D701" i="1" l="1"/>
  <c r="E701" i="1" s="1"/>
  <c r="C701" i="1"/>
  <c r="B704" i="1"/>
  <c r="B771" i="1"/>
  <c r="C768" i="1"/>
  <c r="D700" i="1"/>
  <c r="E700" i="1" s="1"/>
  <c r="D702" i="1"/>
  <c r="E702" i="1" s="1"/>
  <c r="B703" i="1"/>
  <c r="C700" i="1"/>
  <c r="D704" i="1" l="1"/>
  <c r="E704" i="1" s="1"/>
  <c r="B707" i="1"/>
  <c r="C704" i="1"/>
  <c r="D705" i="1"/>
  <c r="E705" i="1" s="1"/>
  <c r="D703" i="1"/>
  <c r="E703" i="1" s="1"/>
  <c r="C703" i="1"/>
  <c r="B706" i="1"/>
  <c r="C771" i="1"/>
  <c r="B774" i="1"/>
  <c r="D708" i="1" l="1"/>
  <c r="E708" i="1" s="1"/>
  <c r="D706" i="1"/>
  <c r="E706" i="1" s="1"/>
  <c r="B709" i="1"/>
  <c r="C706" i="1"/>
  <c r="D707" i="1"/>
  <c r="E707" i="1" s="1"/>
  <c r="C707" i="1"/>
  <c r="B710" i="1"/>
  <c r="B777" i="1"/>
  <c r="C774" i="1"/>
  <c r="C777" i="1" l="1"/>
  <c r="B780" i="1"/>
  <c r="D710" i="1"/>
  <c r="E710" i="1" s="1"/>
  <c r="C710" i="1"/>
  <c r="B713" i="1"/>
  <c r="D709" i="1"/>
  <c r="E709" i="1" s="1"/>
  <c r="D711" i="1"/>
  <c r="E711" i="1" s="1"/>
  <c r="B712" i="1"/>
  <c r="C709" i="1"/>
  <c r="B783" i="1" l="1"/>
  <c r="C780" i="1"/>
  <c r="D712" i="1"/>
  <c r="E712" i="1" s="1"/>
  <c r="D714" i="1"/>
  <c r="E714" i="1" s="1"/>
  <c r="C712" i="1"/>
  <c r="B715" i="1"/>
  <c r="D713" i="1"/>
  <c r="E713" i="1" s="1"/>
  <c r="B716" i="1"/>
  <c r="C713" i="1"/>
  <c r="D716" i="1" l="1"/>
  <c r="E716" i="1" s="1"/>
  <c r="C716" i="1"/>
  <c r="B719" i="1"/>
  <c r="D717" i="1"/>
  <c r="E717" i="1" s="1"/>
  <c r="D715" i="1"/>
  <c r="E715" i="1" s="1"/>
  <c r="B718" i="1"/>
  <c r="C715" i="1"/>
  <c r="B786" i="1"/>
  <c r="C783" i="1"/>
  <c r="C786" i="1" l="1"/>
  <c r="B789" i="1"/>
  <c r="D719" i="1"/>
  <c r="E719" i="1" s="1"/>
  <c r="C719" i="1"/>
  <c r="B722" i="1"/>
  <c r="D720" i="1"/>
  <c r="E720" i="1" s="1"/>
  <c r="D718" i="1"/>
  <c r="E718" i="1" s="1"/>
  <c r="B721" i="1"/>
  <c r="C718" i="1"/>
  <c r="B792" i="1" l="1"/>
  <c r="C789" i="1"/>
  <c r="C721" i="1"/>
  <c r="D723" i="1"/>
  <c r="E723" i="1" s="1"/>
  <c r="D721" i="1"/>
  <c r="E721" i="1" s="1"/>
  <c r="B724" i="1"/>
  <c r="C722" i="1"/>
  <c r="D722" i="1"/>
  <c r="E722" i="1" s="1"/>
  <c r="B725" i="1"/>
  <c r="C724" i="1" l="1"/>
  <c r="D726" i="1"/>
  <c r="E726" i="1" s="1"/>
  <c r="D724" i="1"/>
  <c r="E724" i="1" s="1"/>
  <c r="B727" i="1"/>
  <c r="C725" i="1"/>
  <c r="D725" i="1"/>
  <c r="E725" i="1" s="1"/>
  <c r="B728" i="1"/>
  <c r="B795" i="1"/>
  <c r="C792" i="1"/>
  <c r="C795" i="1" l="1"/>
  <c r="B798" i="1"/>
  <c r="D727" i="1"/>
  <c r="E727" i="1" s="1"/>
  <c r="D729" i="1"/>
  <c r="E729" i="1" s="1"/>
  <c r="C727" i="1"/>
  <c r="B730" i="1"/>
  <c r="C728" i="1"/>
  <c r="D728" i="1"/>
  <c r="E728" i="1" s="1"/>
  <c r="B731" i="1"/>
  <c r="B801" i="1" l="1"/>
  <c r="C798" i="1"/>
  <c r="D730" i="1"/>
  <c r="E730" i="1" s="1"/>
  <c r="D732" i="1"/>
  <c r="E732" i="1" s="1"/>
  <c r="C730" i="1"/>
  <c r="B733" i="1"/>
  <c r="D731" i="1"/>
  <c r="E731" i="1" s="1"/>
  <c r="C731" i="1"/>
  <c r="B734" i="1"/>
  <c r="D733" i="1" l="1"/>
  <c r="E733" i="1" s="1"/>
  <c r="D735" i="1"/>
  <c r="E735" i="1" s="1"/>
  <c r="B736" i="1"/>
  <c r="C733" i="1"/>
  <c r="D734" i="1"/>
  <c r="E734" i="1" s="1"/>
  <c r="B737" i="1"/>
  <c r="C734" i="1"/>
  <c r="B804" i="1"/>
  <c r="C801" i="1"/>
  <c r="B807" i="1" l="1"/>
  <c r="C804" i="1"/>
  <c r="D736" i="1"/>
  <c r="E736" i="1" s="1"/>
  <c r="D738" i="1"/>
  <c r="E738" i="1" s="1"/>
  <c r="C736" i="1"/>
  <c r="B739" i="1"/>
  <c r="D737" i="1"/>
  <c r="E737" i="1" s="1"/>
  <c r="C737" i="1"/>
  <c r="B740" i="1"/>
  <c r="D741" i="1" l="1"/>
  <c r="E741" i="1" s="1"/>
  <c r="D739" i="1"/>
  <c r="E739" i="1" s="1"/>
  <c r="C739" i="1"/>
  <c r="B742" i="1"/>
  <c r="D740" i="1"/>
  <c r="E740" i="1" s="1"/>
  <c r="B743" i="1"/>
  <c r="C740" i="1"/>
  <c r="C807" i="1"/>
  <c r="B810" i="1"/>
  <c r="D743" i="1" l="1"/>
  <c r="E743" i="1" s="1"/>
  <c r="C743" i="1"/>
  <c r="B746" i="1"/>
  <c r="D744" i="1"/>
  <c r="E744" i="1" s="1"/>
  <c r="D742" i="1"/>
  <c r="E742" i="1" s="1"/>
  <c r="C742" i="1"/>
  <c r="B745" i="1"/>
  <c r="B813" i="1"/>
  <c r="C810" i="1"/>
  <c r="D746" i="1" l="1"/>
  <c r="E746" i="1" s="1"/>
  <c r="C746" i="1"/>
  <c r="B749" i="1"/>
  <c r="C813" i="1"/>
  <c r="B816" i="1"/>
  <c r="D747" i="1"/>
  <c r="E747" i="1" s="1"/>
  <c r="D745" i="1"/>
  <c r="E745" i="1" s="1"/>
  <c r="B748" i="1"/>
  <c r="C745" i="1"/>
  <c r="D749" i="1" l="1"/>
  <c r="E749" i="1" s="1"/>
  <c r="B752" i="1"/>
  <c r="C749" i="1"/>
  <c r="D750" i="1"/>
  <c r="E750" i="1" s="1"/>
  <c r="D748" i="1"/>
  <c r="E748" i="1" s="1"/>
  <c r="B751" i="1"/>
  <c r="C748" i="1"/>
  <c r="B819" i="1"/>
  <c r="C816" i="1"/>
  <c r="B822" i="1" l="1"/>
  <c r="C819" i="1"/>
  <c r="D753" i="1"/>
  <c r="E753" i="1" s="1"/>
  <c r="D751" i="1"/>
  <c r="E751" i="1" s="1"/>
  <c r="B754" i="1"/>
  <c r="C751" i="1"/>
  <c r="D752" i="1"/>
  <c r="E752" i="1" s="1"/>
  <c r="B755" i="1"/>
  <c r="C752" i="1"/>
  <c r="D755" i="1" l="1"/>
  <c r="E755" i="1" s="1"/>
  <c r="C755" i="1"/>
  <c r="B758" i="1"/>
  <c r="D756" i="1"/>
  <c r="E756" i="1" s="1"/>
  <c r="D754" i="1"/>
  <c r="E754" i="1" s="1"/>
  <c r="B757" i="1"/>
  <c r="C754" i="1"/>
  <c r="C822" i="1"/>
  <c r="B825" i="1"/>
  <c r="C758" i="1" l="1"/>
  <c r="D758" i="1"/>
  <c r="E758" i="1" s="1"/>
  <c r="B761" i="1"/>
  <c r="C757" i="1"/>
  <c r="D759" i="1"/>
  <c r="E759" i="1" s="1"/>
  <c r="D757" i="1"/>
  <c r="E757" i="1" s="1"/>
  <c r="B760" i="1"/>
  <c r="B828" i="1"/>
  <c r="C825" i="1"/>
  <c r="C828" i="1" l="1"/>
  <c r="B831" i="1"/>
  <c r="C831" i="1" s="1"/>
  <c r="B763" i="1"/>
  <c r="D760" i="1"/>
  <c r="E760" i="1" s="1"/>
  <c r="D762" i="1"/>
  <c r="E762" i="1" s="1"/>
  <c r="C760" i="1"/>
  <c r="C761" i="1"/>
  <c r="D761" i="1"/>
  <c r="E761" i="1" s="1"/>
  <c r="B764" i="1"/>
  <c r="D765" i="1" l="1"/>
  <c r="E765" i="1" s="1"/>
  <c r="D763" i="1"/>
  <c r="E763" i="1" s="1"/>
  <c r="C763" i="1"/>
  <c r="B766" i="1"/>
  <c r="B767" i="1"/>
  <c r="D764" i="1"/>
  <c r="E764" i="1" s="1"/>
  <c r="C764" i="1"/>
  <c r="D768" i="1" l="1"/>
  <c r="E768" i="1" s="1"/>
  <c r="D766" i="1"/>
  <c r="E766" i="1" s="1"/>
  <c r="B769" i="1"/>
  <c r="C766" i="1"/>
  <c r="D767" i="1"/>
  <c r="E767" i="1" s="1"/>
  <c r="C767" i="1"/>
  <c r="B770" i="1"/>
  <c r="D770" i="1" l="1"/>
  <c r="E770" i="1" s="1"/>
  <c r="B773" i="1"/>
  <c r="C770" i="1"/>
  <c r="D769" i="1"/>
  <c r="E769" i="1" s="1"/>
  <c r="D771" i="1"/>
  <c r="E771" i="1" s="1"/>
  <c r="C769" i="1"/>
  <c r="B772" i="1"/>
  <c r="D772" i="1" l="1"/>
  <c r="E772" i="1" s="1"/>
  <c r="D774" i="1"/>
  <c r="E774" i="1" s="1"/>
  <c r="B775" i="1"/>
  <c r="C772" i="1"/>
  <c r="D773" i="1"/>
  <c r="E773" i="1" s="1"/>
  <c r="B776" i="1"/>
  <c r="C773" i="1"/>
  <c r="D777" i="1" l="1"/>
  <c r="E777" i="1" s="1"/>
  <c r="D775" i="1"/>
  <c r="E775" i="1" s="1"/>
  <c r="C775" i="1"/>
  <c r="B778" i="1"/>
  <c r="D776" i="1"/>
  <c r="E776" i="1" s="1"/>
  <c r="B779" i="1"/>
  <c r="C776" i="1"/>
  <c r="D780" i="1" l="1"/>
  <c r="E780" i="1" s="1"/>
  <c r="D778" i="1"/>
  <c r="E778" i="1" s="1"/>
  <c r="B781" i="1"/>
  <c r="C778" i="1"/>
  <c r="D779" i="1"/>
  <c r="E779" i="1" s="1"/>
  <c r="C779" i="1"/>
  <c r="B782" i="1"/>
  <c r="D782" i="1" l="1"/>
  <c r="E782" i="1" s="1"/>
  <c r="B785" i="1"/>
  <c r="C782" i="1"/>
  <c r="D783" i="1"/>
  <c r="E783" i="1" s="1"/>
  <c r="D781" i="1"/>
  <c r="E781" i="1" s="1"/>
  <c r="C781" i="1"/>
  <c r="B784" i="1"/>
  <c r="D786" i="1" l="1"/>
  <c r="E786" i="1" s="1"/>
  <c r="D784" i="1"/>
  <c r="E784" i="1" s="1"/>
  <c r="C784" i="1"/>
  <c r="B787" i="1"/>
  <c r="D785" i="1"/>
  <c r="E785" i="1" s="1"/>
  <c r="B788" i="1"/>
  <c r="C785" i="1"/>
  <c r="D788" i="1" l="1"/>
  <c r="E788" i="1" s="1"/>
  <c r="B791" i="1"/>
  <c r="C788" i="1"/>
  <c r="D787" i="1"/>
  <c r="E787" i="1" s="1"/>
  <c r="D789" i="1"/>
  <c r="E789" i="1" s="1"/>
  <c r="B790" i="1"/>
  <c r="C787" i="1"/>
  <c r="D790" i="1" l="1"/>
  <c r="E790" i="1" s="1"/>
  <c r="D792" i="1"/>
  <c r="E792" i="1" s="1"/>
  <c r="C790" i="1"/>
  <c r="B793" i="1"/>
  <c r="D791" i="1"/>
  <c r="E791" i="1" s="1"/>
  <c r="B794" i="1"/>
  <c r="C791" i="1"/>
  <c r="C793" i="1" l="1"/>
  <c r="D793" i="1"/>
  <c r="E793" i="1" s="1"/>
  <c r="D795" i="1"/>
  <c r="E795" i="1" s="1"/>
  <c r="B796" i="1"/>
  <c r="C794" i="1"/>
  <c r="D794" i="1"/>
  <c r="E794" i="1" s="1"/>
  <c r="B797" i="1"/>
  <c r="B799" i="1" l="1"/>
  <c r="D796" i="1"/>
  <c r="E796" i="1" s="1"/>
  <c r="D798" i="1"/>
  <c r="E798" i="1" s="1"/>
  <c r="C796" i="1"/>
  <c r="C797" i="1"/>
  <c r="B800" i="1"/>
  <c r="D797" i="1"/>
  <c r="E797" i="1" s="1"/>
  <c r="B803" i="1" l="1"/>
  <c r="D800" i="1"/>
  <c r="E800" i="1" s="1"/>
  <c r="C800" i="1"/>
  <c r="D799" i="1"/>
  <c r="E799" i="1" s="1"/>
  <c r="D801" i="1"/>
  <c r="E801" i="1" s="1"/>
  <c r="C799" i="1"/>
  <c r="B802" i="1"/>
  <c r="D802" i="1" l="1"/>
  <c r="E802" i="1" s="1"/>
  <c r="D804" i="1"/>
  <c r="E804" i="1" s="1"/>
  <c r="B805" i="1"/>
  <c r="C802" i="1"/>
  <c r="D803" i="1"/>
  <c r="E803" i="1" s="1"/>
  <c r="C803" i="1"/>
  <c r="B806" i="1"/>
  <c r="D806" i="1" l="1"/>
  <c r="E806" i="1" s="1"/>
  <c r="B809" i="1"/>
  <c r="C806" i="1"/>
  <c r="D805" i="1"/>
  <c r="E805" i="1" s="1"/>
  <c r="D807" i="1"/>
  <c r="E807" i="1" s="1"/>
  <c r="B808" i="1"/>
  <c r="C805" i="1"/>
  <c r="D808" i="1" l="1"/>
  <c r="E808" i="1" s="1"/>
  <c r="D810" i="1"/>
  <c r="E810" i="1" s="1"/>
  <c r="B811" i="1"/>
  <c r="C808" i="1"/>
  <c r="D809" i="1"/>
  <c r="E809" i="1" s="1"/>
  <c r="C809" i="1"/>
  <c r="B812" i="1"/>
  <c r="D811" i="1" l="1"/>
  <c r="E811" i="1" s="1"/>
  <c r="D813" i="1"/>
  <c r="E813" i="1" s="1"/>
  <c r="B814" i="1"/>
  <c r="C811" i="1"/>
  <c r="D812" i="1"/>
  <c r="E812" i="1" s="1"/>
  <c r="B815" i="1"/>
  <c r="C812" i="1"/>
  <c r="D815" i="1" l="1"/>
  <c r="E815" i="1" s="1"/>
  <c r="C815" i="1"/>
  <c r="B818" i="1"/>
  <c r="D814" i="1"/>
  <c r="E814" i="1" s="1"/>
  <c r="D816" i="1"/>
  <c r="E816" i="1" s="1"/>
  <c r="B817" i="1"/>
  <c r="C814" i="1"/>
  <c r="D818" i="1" l="1"/>
  <c r="E818" i="1" s="1"/>
  <c r="B821" i="1"/>
  <c r="C818" i="1"/>
  <c r="D817" i="1"/>
  <c r="E817" i="1" s="1"/>
  <c r="D819" i="1"/>
  <c r="E819" i="1" s="1"/>
  <c r="C817" i="1"/>
  <c r="B820" i="1"/>
  <c r="D820" i="1" l="1"/>
  <c r="E820" i="1" s="1"/>
  <c r="D822" i="1"/>
  <c r="E822" i="1" s="1"/>
  <c r="C820" i="1"/>
  <c r="B823" i="1"/>
  <c r="D821" i="1"/>
  <c r="E821" i="1" s="1"/>
  <c r="B824" i="1"/>
  <c r="C821" i="1"/>
  <c r="D823" i="1" l="1"/>
  <c r="E823" i="1" s="1"/>
  <c r="D825" i="1"/>
  <c r="E825" i="1" s="1"/>
  <c r="B826" i="1"/>
  <c r="C823" i="1"/>
  <c r="D824" i="1"/>
  <c r="E824" i="1" s="1"/>
  <c r="B827" i="1"/>
  <c r="C824" i="1"/>
  <c r="D826" i="1" l="1"/>
  <c r="E826" i="1" s="1"/>
  <c r="D828" i="1"/>
  <c r="E828" i="1" s="1"/>
  <c r="B829" i="1"/>
  <c r="C826" i="1"/>
  <c r="D827" i="1"/>
  <c r="E827" i="1" s="1"/>
  <c r="B830" i="1"/>
  <c r="C827" i="1"/>
  <c r="C829" i="1" l="1"/>
  <c r="D829" i="1"/>
  <c r="E829" i="1" s="1"/>
  <c r="D831" i="1"/>
  <c r="E831" i="1" s="1"/>
  <c r="C830" i="1"/>
  <c r="D830" i="1"/>
  <c r="E830" i="1" s="1"/>
  <c r="F15" i="1" l="1"/>
  <c r="F55" i="1"/>
  <c r="F46" i="1"/>
  <c r="F40" i="1"/>
  <c r="F80" i="1"/>
  <c r="F13" i="1"/>
  <c r="F49" i="1"/>
  <c r="F69" i="1"/>
  <c r="F54" i="1"/>
  <c r="I12" i="2"/>
  <c r="F96" i="1"/>
  <c r="I13" i="2" s="1"/>
  <c r="F89" i="1"/>
  <c r="I6" i="2" s="1"/>
  <c r="F19" i="1"/>
  <c r="F35" i="1"/>
  <c r="F43" i="1"/>
  <c r="F63" i="1"/>
  <c r="F67" i="1"/>
  <c r="F48" i="1"/>
  <c r="F25" i="1"/>
  <c r="I15" i="2"/>
  <c r="I11" i="2"/>
  <c r="F94" i="1"/>
  <c r="F29" i="1"/>
  <c r="F61" i="1"/>
  <c r="F73" i="1"/>
  <c r="F32" i="1"/>
  <c r="F70" i="1"/>
  <c r="F38" i="1"/>
  <c r="F95" i="1"/>
  <c r="F22" i="1"/>
  <c r="F26" i="1"/>
  <c r="F66" i="1"/>
  <c r="F44" i="1"/>
  <c r="F84" i="1"/>
  <c r="F17" i="1"/>
  <c r="F57" i="1"/>
  <c r="F98" i="1"/>
  <c r="F117" i="1"/>
  <c r="I34" i="2" s="1"/>
  <c r="K16" i="2" s="1"/>
  <c r="F90" i="1"/>
  <c r="I7" i="2" s="1"/>
  <c r="F76" i="1"/>
  <c r="F78" i="1"/>
  <c r="F50" i="1"/>
  <c r="F108" i="1"/>
  <c r="I25" i="2" s="1"/>
  <c r="K7" i="2" s="1"/>
  <c r="F114" i="1"/>
  <c r="I31" i="2" s="1"/>
  <c r="K13" i="2" s="1"/>
  <c r="F92" i="1"/>
  <c r="I9" i="2" s="1"/>
  <c r="F65" i="1"/>
  <c r="F88" i="1"/>
  <c r="I5" i="2"/>
  <c r="F103" i="1"/>
  <c r="I20" i="2"/>
  <c r="K2" i="2" s="1"/>
  <c r="F116" i="1"/>
  <c r="I33" i="2" s="1"/>
  <c r="K15" i="2" s="1"/>
</calcChain>
</file>

<file path=xl/sharedStrings.xml><?xml version="1.0" encoding="utf-8"?>
<sst xmlns="http://schemas.openxmlformats.org/spreadsheetml/2006/main" count="138" uniqueCount="114">
  <si>
    <t>中井</t>
    <rPh sb="0" eb="2">
      <t>ナカイ</t>
    </rPh>
    <phoneticPr fontId="1"/>
  </si>
  <si>
    <t>北</t>
    <rPh sb="0" eb="1">
      <t>キタ</t>
    </rPh>
    <phoneticPr fontId="1"/>
  </si>
  <si>
    <t>南</t>
    <rPh sb="0" eb="1">
      <t>ミナミ</t>
    </rPh>
    <phoneticPr fontId="1"/>
  </si>
  <si>
    <t>長田</t>
    <rPh sb="0" eb="2">
      <t>ナガタ</t>
    </rPh>
    <phoneticPr fontId="1"/>
  </si>
  <si>
    <t>斎藤</t>
    <rPh sb="0" eb="2">
      <t>サイトウ</t>
    </rPh>
    <phoneticPr fontId="1"/>
  </si>
  <si>
    <t>加藤</t>
    <rPh sb="0" eb="2">
      <t>カトウ</t>
    </rPh>
    <phoneticPr fontId="1"/>
  </si>
  <si>
    <t>本田</t>
    <rPh sb="0" eb="2">
      <t>ホンダ</t>
    </rPh>
    <phoneticPr fontId="1"/>
  </si>
  <si>
    <t>明1</t>
    <rPh sb="0" eb="1">
      <t>アケ</t>
    </rPh>
    <phoneticPr fontId="1"/>
  </si>
  <si>
    <t>明2</t>
    <rPh sb="0" eb="1">
      <t>アケ</t>
    </rPh>
    <phoneticPr fontId="1"/>
  </si>
  <si>
    <t>代休１</t>
    <rPh sb="0" eb="2">
      <t>ダイキュウ</t>
    </rPh>
    <phoneticPr fontId="1"/>
  </si>
  <si>
    <t>代休２</t>
    <rPh sb="0" eb="2">
      <t>ダイキュウ</t>
    </rPh>
    <phoneticPr fontId="1"/>
  </si>
  <si>
    <t>代休３</t>
    <rPh sb="0" eb="2">
      <t>ダイキュウ</t>
    </rPh>
    <phoneticPr fontId="1"/>
  </si>
  <si>
    <t>代休４</t>
    <rPh sb="0" eb="2">
      <t>ダイキュウ</t>
    </rPh>
    <phoneticPr fontId="1"/>
  </si>
  <si>
    <t>代休５</t>
    <rPh sb="0" eb="2">
      <t>ダイキュウ</t>
    </rPh>
    <phoneticPr fontId="1"/>
  </si>
  <si>
    <t>代休６</t>
    <rPh sb="0" eb="2">
      <t>ダイキュウ</t>
    </rPh>
    <phoneticPr fontId="1"/>
  </si>
  <si>
    <t>らいふクリニック</t>
    <phoneticPr fontId="1"/>
  </si>
  <si>
    <t>長迫</t>
    <rPh sb="0" eb="1">
      <t>チョウ</t>
    </rPh>
    <rPh sb="1" eb="2">
      <t>サコ</t>
    </rPh>
    <phoneticPr fontId="1"/>
  </si>
  <si>
    <t>佐藤恵</t>
    <rPh sb="0" eb="2">
      <t>サトウ</t>
    </rPh>
    <rPh sb="2" eb="3">
      <t>エ</t>
    </rPh>
    <phoneticPr fontId="1"/>
  </si>
  <si>
    <t>年</t>
    <rPh sb="0" eb="1">
      <t>ネン</t>
    </rPh>
    <phoneticPr fontId="1"/>
  </si>
  <si>
    <t>月</t>
    <rPh sb="0" eb="1">
      <t>ツキ</t>
    </rPh>
    <phoneticPr fontId="1"/>
  </si>
  <si>
    <t>から12カ月</t>
    <rPh sb="5" eb="6">
      <t>ゲツ</t>
    </rPh>
    <phoneticPr fontId="1"/>
  </si>
  <si>
    <t>行目</t>
    <rPh sb="0" eb="1">
      <t>ギョウ</t>
    </rPh>
    <rPh sb="1" eb="2">
      <t>メ</t>
    </rPh>
    <phoneticPr fontId="1"/>
  </si>
  <si>
    <t>01</t>
  </si>
  <si>
    <t>02</t>
  </si>
  <si>
    <t>03</t>
  </si>
  <si>
    <t>02</t>
    <phoneticPr fontId="1"/>
  </si>
  <si>
    <t>03</t>
    <phoneticPr fontId="1"/>
  </si>
  <si>
    <t>03</t>
    <phoneticPr fontId="1"/>
  </si>
  <si>
    <t>04</t>
  </si>
  <si>
    <t>05</t>
  </si>
  <si>
    <t>06</t>
  </si>
  <si>
    <t>12</t>
  </si>
  <si>
    <t>04</t>
    <phoneticPr fontId="1"/>
  </si>
  <si>
    <t>06</t>
    <phoneticPr fontId="1"/>
  </si>
  <si>
    <t>07</t>
    <phoneticPr fontId="1"/>
  </si>
  <si>
    <t>07</t>
    <phoneticPr fontId="1"/>
  </si>
  <si>
    <t>08</t>
    <phoneticPr fontId="1"/>
  </si>
  <si>
    <t>09</t>
    <phoneticPr fontId="1"/>
  </si>
  <si>
    <t>09</t>
    <phoneticPr fontId="1"/>
  </si>
  <si>
    <t>04</t>
    <phoneticPr fontId="1"/>
  </si>
  <si>
    <t>05</t>
    <phoneticPr fontId="1"/>
  </si>
  <si>
    <t>らいふクリニック</t>
    <phoneticPr fontId="1"/>
  </si>
  <si>
    <t>大橋 効</t>
  </si>
  <si>
    <t>山本 浩之</t>
  </si>
  <si>
    <t>南 博之</t>
  </si>
  <si>
    <t>澤野 正樹</t>
  </si>
  <si>
    <t>平田 恵哉</t>
  </si>
  <si>
    <t>長田 弘二</t>
  </si>
  <si>
    <t>黒田 辰憲</t>
  </si>
  <si>
    <t>長迫 千寛</t>
  </si>
  <si>
    <t>林 亮子</t>
  </si>
  <si>
    <t>田村 能之</t>
  </si>
  <si>
    <t>齊藤 久紘</t>
  </si>
  <si>
    <t>村崎 祐一</t>
  </si>
  <si>
    <t>加藤 靖博</t>
  </si>
  <si>
    <t>薬司 康平</t>
  </si>
  <si>
    <t>西郡　健太</t>
    <rPh sb="0" eb="2">
      <t>ニシグン</t>
    </rPh>
    <rPh sb="3" eb="5">
      <t>ケンタ</t>
    </rPh>
    <phoneticPr fontId="1"/>
  </si>
  <si>
    <t>4</t>
    <phoneticPr fontId="1"/>
  </si>
  <si>
    <t>吉田 汐里</t>
    <phoneticPr fontId="1"/>
  </si>
  <si>
    <t>諸田　悠也</t>
    <rPh sb="0" eb="2">
      <t>モロタ</t>
    </rPh>
    <rPh sb="3" eb="5">
      <t>ユウヤ</t>
    </rPh>
    <phoneticPr fontId="1"/>
  </si>
  <si>
    <t>平均した数字を手入力⇒</t>
    <rPh sb="0" eb="2">
      <t>ヘイキン</t>
    </rPh>
    <rPh sb="4" eb="6">
      <t>スウジ</t>
    </rPh>
    <rPh sb="7" eb="10">
      <t>テニュウリョク</t>
    </rPh>
    <phoneticPr fontId="1"/>
  </si>
  <si>
    <r>
      <t>④</t>
    </r>
    <r>
      <rPr>
        <b/>
        <sz val="18"/>
        <color rgb="FF000000"/>
        <rFont val="游ゴシック"/>
        <family val="3"/>
        <charset val="128"/>
      </rPr>
      <t>予約について</t>
    </r>
  </si>
  <si>
    <t>オーダー入力は通常枠で予約をして下さい。</t>
  </si>
  <si>
    <t>99枠の場合は必ずRI検査室まで連絡して下さい。</t>
  </si>
  <si>
    <t>雨池　凌也</t>
    <rPh sb="0" eb="2">
      <t>アマイケ</t>
    </rPh>
    <rPh sb="3" eb="4">
      <t>リョウ</t>
    </rPh>
    <rPh sb="4" eb="5">
      <t>ナリ</t>
    </rPh>
    <phoneticPr fontId="1"/>
  </si>
  <si>
    <t>樫田　尚</t>
    <rPh sb="0" eb="2">
      <t>カシダ</t>
    </rPh>
    <rPh sb="3" eb="4">
      <t>ショウ</t>
    </rPh>
    <phoneticPr fontId="1"/>
  </si>
  <si>
    <t>福知　千佳</t>
    <rPh sb="0" eb="2">
      <t>フクチ</t>
    </rPh>
    <rPh sb="3" eb="5">
      <t>チカ</t>
    </rPh>
    <phoneticPr fontId="1"/>
  </si>
  <si>
    <t>袋　隼哉</t>
    <rPh sb="0" eb="1">
      <t>フクロ</t>
    </rPh>
    <rPh sb="2" eb="3">
      <t>ハヤブサ</t>
    </rPh>
    <rPh sb="3" eb="4">
      <t>ナリ</t>
    </rPh>
    <phoneticPr fontId="1"/>
  </si>
  <si>
    <t>庵</t>
  </si>
  <si>
    <t>諸田</t>
  </si>
  <si>
    <t>大橋</t>
  </si>
  <si>
    <t>澤野</t>
  </si>
  <si>
    <t>南</t>
  </si>
  <si>
    <t>西郡</t>
  </si>
  <si>
    <t>小川 穂波</t>
    <rPh sb="0" eb="2">
      <t>オガワ</t>
    </rPh>
    <phoneticPr fontId="1"/>
  </si>
  <si>
    <t>中川　大誠</t>
    <rPh sb="0" eb="2">
      <t>ナカガワ</t>
    </rPh>
    <rPh sb="3" eb="4">
      <t>タイ</t>
    </rPh>
    <rPh sb="4" eb="5">
      <t>セイ</t>
    </rPh>
    <phoneticPr fontId="1"/>
  </si>
  <si>
    <t>清水　正生</t>
    <rPh sb="0" eb="2">
      <t>シミズ</t>
    </rPh>
    <rPh sb="3" eb="4">
      <t>セイ</t>
    </rPh>
    <rPh sb="4" eb="5">
      <t>キ</t>
    </rPh>
    <phoneticPr fontId="1"/>
  </si>
  <si>
    <t>菅野　祐萌</t>
    <rPh sb="0" eb="2">
      <t>スガノ</t>
    </rPh>
    <rPh sb="3" eb="4">
      <t>ユウ</t>
    </rPh>
    <rPh sb="4" eb="5">
      <t>モエ</t>
    </rPh>
    <phoneticPr fontId="1"/>
  </si>
  <si>
    <t>別所　貴仁</t>
    <rPh sb="0" eb="2">
      <t>ベッショ</t>
    </rPh>
    <rPh sb="3" eb="5">
      <t>タカヒト</t>
    </rPh>
    <phoneticPr fontId="1"/>
  </si>
  <si>
    <t>山村　博</t>
  </si>
  <si>
    <t>山下　修</t>
  </si>
  <si>
    <t>長田　弘二</t>
  </si>
  <si>
    <t>平田　恵哉</t>
  </si>
  <si>
    <t>山田　正則</t>
  </si>
  <si>
    <t>大橋　効</t>
  </si>
  <si>
    <t>山本　浩之</t>
  </si>
  <si>
    <t>南　博之</t>
  </si>
  <si>
    <t>澤野　正樹</t>
  </si>
  <si>
    <t>冨田　紗詠子</t>
  </si>
  <si>
    <t>黒田　奈菜子</t>
  </si>
  <si>
    <t>長迫　千寛</t>
  </si>
  <si>
    <t>林　亮子</t>
  </si>
  <si>
    <t>吉田　汐里</t>
  </si>
  <si>
    <t>田村　能之</t>
  </si>
  <si>
    <t>齊藤　久紘</t>
  </si>
  <si>
    <t>庵　緋沙子</t>
  </si>
  <si>
    <t>佐藤　恵梨子</t>
  </si>
  <si>
    <t>加藤　靖博</t>
  </si>
  <si>
    <t>薬司　康平</t>
  </si>
  <si>
    <t>西郡　健太</t>
  </si>
  <si>
    <t>福知　千佳</t>
  </si>
  <si>
    <t>中村　公亮</t>
  </si>
  <si>
    <t>袋　隼哉</t>
  </si>
  <si>
    <t>樫田　尚</t>
  </si>
  <si>
    <t>雨池　凌也</t>
  </si>
  <si>
    <t>小川　穂波</t>
    <rPh sb="0" eb="2">
      <t>オガワ</t>
    </rPh>
    <phoneticPr fontId="1"/>
  </si>
  <si>
    <t>旧姓　佐藤</t>
    <rPh sb="0" eb="2">
      <t>キュウセイ</t>
    </rPh>
    <rPh sb="3" eb="5">
      <t>サトウ</t>
    </rPh>
    <phoneticPr fontId="1"/>
  </si>
  <si>
    <t>氏名</t>
    <rPh sb="0" eb="2">
      <t>シメイ</t>
    </rPh>
    <phoneticPr fontId="1"/>
  </si>
  <si>
    <t>諸田　悠也　</t>
    <rPh sb="0" eb="2">
      <t>モロタ</t>
    </rPh>
    <phoneticPr fontId="1"/>
  </si>
  <si>
    <t>坂下　大知</t>
    <rPh sb="0" eb="2">
      <t>サカシタ</t>
    </rPh>
    <rPh sb="3" eb="5">
      <t>ダイチ</t>
    </rPh>
    <phoneticPr fontId="1"/>
  </si>
  <si>
    <t>小竹　祐太朗　</t>
    <rPh sb="0" eb="2">
      <t>コタケ</t>
    </rPh>
    <phoneticPr fontId="1"/>
  </si>
  <si>
    <t>西明 千織</t>
  </si>
  <si>
    <t>片岡 恵梨子</t>
    <rPh sb="0" eb="2">
      <t>カタオカ</t>
    </rPh>
    <phoneticPr fontId="1"/>
  </si>
  <si>
    <t>庵　緋沙子</t>
    <rPh sb="0" eb="1">
      <t>イオリ</t>
    </rPh>
    <rPh sb="2" eb="5">
      <t>ヒサコ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</si>
</sst>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aaa"/>
    <numFmt numFmtId="177" formatCode="m&quot;月&quot;d&quot;日&quot;;@"/>
    <numFmt numFmtId="178" formatCode="m&quot;月&quot;d&quot;日  (&quot;aaa&quot;)&quot;"/>
    <numFmt numFmtId="179" formatCode="yyyy&quot;年&quot;"/>
  </numFmts>
  <fonts count="1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2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22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2"/>
      <charset val="128"/>
      <scheme val="minor"/>
    </font>
    <font>
      <sz val="18"/>
      <color rgb="FF000000"/>
      <name val="游ゴシック"/>
      <family val="3"/>
      <charset val="128"/>
    </font>
    <font>
      <b/>
      <sz val="18"/>
      <color rgb="FF000000"/>
      <name val="游ゴシック"/>
      <family val="3"/>
      <charset val="128"/>
    </font>
    <font>
      <b/>
      <sz val="16"/>
      <color theme="1"/>
      <name val="ＭＳ Ｐゴシック"/>
      <family val="3"/>
      <charset val="128"/>
      <scheme val="minor"/>
    </font>
    <font>
      <sz val="16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56" fontId="4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8" fillId="0" borderId="0" xfId="0" applyFont="1">
      <alignment vertical="center"/>
    </xf>
    <xf numFmtId="176" fontId="8" fillId="0" borderId="13" xfId="0" applyNumberFormat="1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176" fontId="8" fillId="0" borderId="16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177" fontId="8" fillId="0" borderId="0" xfId="0" applyNumberFormat="1" applyFont="1">
      <alignment vertical="center"/>
    </xf>
    <xf numFmtId="177" fontId="7" fillId="0" borderId="0" xfId="0" applyNumberFormat="1" applyFont="1" applyAlignment="1">
      <alignment horizontal="center" vertical="center"/>
    </xf>
    <xf numFmtId="177" fontId="8" fillId="0" borderId="12" xfId="0" applyNumberFormat="1" applyFont="1" applyBorder="1" applyAlignment="1">
      <alignment horizontal="center" vertical="center"/>
    </xf>
    <xf numFmtId="177" fontId="8" fillId="0" borderId="15" xfId="0" applyNumberFormat="1" applyFont="1" applyBorder="1">
      <alignment vertical="center"/>
    </xf>
    <xf numFmtId="176" fontId="7" fillId="0" borderId="16" xfId="0" applyNumberFormat="1" applyFont="1" applyBorder="1" applyAlignment="1">
      <alignment horizontal="center" vertical="center"/>
    </xf>
    <xf numFmtId="177" fontId="7" fillId="0" borderId="15" xfId="0" applyNumberFormat="1" applyFont="1" applyBorder="1">
      <alignment vertical="center"/>
    </xf>
    <xf numFmtId="0" fontId="8" fillId="0" borderId="0" xfId="0" applyFont="1" applyAlignment="1">
      <alignment horizontal="center" vertical="center"/>
    </xf>
    <xf numFmtId="0" fontId="2" fillId="0" borderId="17" xfId="0" applyFont="1" applyBorder="1" applyAlignment="1" applyProtection="1">
      <alignment horizontal="center"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>
      <alignment vertical="center"/>
    </xf>
    <xf numFmtId="178" fontId="5" fillId="0" borderId="6" xfId="0" applyNumberFormat="1" applyFont="1" applyBorder="1" applyAlignment="1">
      <alignment horizontal="center" vertical="center"/>
    </xf>
    <xf numFmtId="178" fontId="5" fillId="0" borderId="15" xfId="0" applyNumberFormat="1" applyFont="1" applyBorder="1" applyAlignment="1">
      <alignment horizontal="center" vertical="center"/>
    </xf>
    <xf numFmtId="178" fontId="5" fillId="0" borderId="9" xfId="0" applyNumberFormat="1" applyFont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7" fontId="12" fillId="0" borderId="8" xfId="0" applyNumberFormat="1" applyFont="1" applyBorder="1" applyAlignment="1">
      <alignment horizontal="center" vertical="center"/>
    </xf>
    <xf numFmtId="177" fontId="12" fillId="0" borderId="17" xfId="0" applyNumberFormat="1" applyFont="1" applyBorder="1" applyAlignment="1">
      <alignment horizontal="center" vertical="center"/>
    </xf>
    <xf numFmtId="177" fontId="12" fillId="0" borderId="11" xfId="0" applyNumberFormat="1" applyFont="1" applyBorder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12" fillId="0" borderId="0" xfId="0" applyNumberFormat="1" applyFont="1">
      <alignment vertical="center"/>
    </xf>
    <xf numFmtId="0" fontId="12" fillId="0" borderId="0" xfId="0" applyFont="1">
      <alignment vertical="center"/>
    </xf>
    <xf numFmtId="0" fontId="2" fillId="0" borderId="0" xfId="0" applyFont="1" applyAlignment="1">
      <alignment horizontal="center" vertical="center" textRotation="255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 textRotation="255"/>
    </xf>
    <xf numFmtId="0" fontId="2" fillId="0" borderId="23" xfId="0" applyFont="1" applyBorder="1" applyAlignment="1">
      <alignment horizontal="center" vertical="center" textRotation="255"/>
    </xf>
    <xf numFmtId="0" fontId="2" fillId="0" borderId="25" xfId="0" applyFont="1" applyBorder="1" applyAlignment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Protection="1">
      <alignment vertical="center"/>
      <protection locked="0"/>
    </xf>
    <xf numFmtId="0" fontId="0" fillId="4" borderId="15" xfId="0" applyFill="1" applyBorder="1" applyProtection="1">
      <alignment vertical="center"/>
      <protection locked="0"/>
    </xf>
    <xf numFmtId="0" fontId="0" fillId="4" borderId="16" xfId="0" applyFill="1" applyBorder="1" applyProtection="1">
      <alignment vertical="center"/>
      <protection locked="0"/>
    </xf>
    <xf numFmtId="0" fontId="0" fillId="4" borderId="25" xfId="0" applyFill="1" applyBorder="1" applyProtection="1">
      <alignment vertical="center"/>
      <protection locked="0"/>
    </xf>
    <xf numFmtId="0" fontId="0" fillId="4" borderId="17" xfId="0" applyFill="1" applyBorder="1" applyProtection="1">
      <alignment vertical="center"/>
      <protection locked="0"/>
    </xf>
    <xf numFmtId="179" fontId="7" fillId="0" borderId="0" xfId="0" applyNumberFormat="1" applyFont="1" applyAlignment="1">
      <alignment horizontal="center" vertical="center"/>
    </xf>
    <xf numFmtId="179" fontId="8" fillId="0" borderId="0" xfId="0" applyNumberFormat="1" applyFont="1">
      <alignment vertical="center"/>
    </xf>
    <xf numFmtId="0" fontId="3" fillId="2" borderId="26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0" fillId="6" borderId="15" xfId="0" applyFill="1" applyBorder="1" applyProtection="1">
      <alignment vertical="center"/>
      <protection locked="0"/>
    </xf>
    <xf numFmtId="0" fontId="0" fillId="6" borderId="18" xfId="0" applyFill="1" applyBorder="1" applyProtection="1">
      <alignment vertical="center"/>
      <protection locked="0"/>
    </xf>
    <xf numFmtId="0" fontId="0" fillId="6" borderId="0" xfId="0" applyFill="1" applyProtection="1">
      <alignment vertical="center"/>
      <protection locked="0"/>
    </xf>
    <xf numFmtId="0" fontId="3" fillId="6" borderId="2" xfId="0" applyFont="1" applyFill="1" applyBorder="1" applyAlignment="1">
      <alignment horizontal="center" vertical="center" textRotation="255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2" fillId="6" borderId="16" xfId="0" applyFont="1" applyFill="1" applyBorder="1" applyAlignment="1" applyProtection="1">
      <alignment horizontal="center" vertical="center"/>
      <protection locked="0"/>
    </xf>
    <xf numFmtId="0" fontId="0" fillId="6" borderId="13" xfId="0" applyFill="1" applyBorder="1" applyProtection="1">
      <alignment vertical="center"/>
      <protection locked="0"/>
    </xf>
    <xf numFmtId="0" fontId="0" fillId="6" borderId="16" xfId="0" applyFill="1" applyBorder="1" applyProtection="1">
      <alignment vertical="center"/>
      <protection locked="0"/>
    </xf>
    <xf numFmtId="0" fontId="0" fillId="6" borderId="19" xfId="0" applyFill="1" applyBorder="1" applyProtection="1">
      <alignment vertical="center"/>
      <protection locked="0"/>
    </xf>
    <xf numFmtId="0" fontId="3" fillId="6" borderId="4" xfId="0" applyFont="1" applyFill="1" applyBorder="1" applyAlignment="1">
      <alignment horizontal="center" vertical="center" textRotation="255"/>
    </xf>
    <xf numFmtId="0" fontId="2" fillId="6" borderId="22" xfId="0" applyFont="1" applyFill="1" applyBorder="1" applyAlignment="1">
      <alignment horizontal="center" vertical="center" textRotation="255"/>
    </xf>
    <xf numFmtId="0" fontId="2" fillId="6" borderId="23" xfId="0" applyFont="1" applyFill="1" applyBorder="1" applyAlignment="1">
      <alignment horizontal="center" vertical="center" textRotation="255"/>
    </xf>
    <xf numFmtId="0" fontId="2" fillId="6" borderId="13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5" xfId="0" applyFont="1" applyFill="1" applyBorder="1" applyAlignment="1" applyProtection="1">
      <alignment horizontal="center" vertical="center"/>
      <protection locked="0"/>
    </xf>
    <xf numFmtId="0" fontId="0" fillId="6" borderId="25" xfId="0" applyFill="1" applyBorder="1" applyProtection="1">
      <alignment vertical="center"/>
      <protection locked="0"/>
    </xf>
    <xf numFmtId="0" fontId="0" fillId="4" borderId="18" xfId="0" applyFill="1" applyBorder="1" applyProtection="1">
      <alignment vertical="center"/>
      <protection locked="0"/>
    </xf>
    <xf numFmtId="0" fontId="0" fillId="6" borderId="29" xfId="0" applyFill="1" applyBorder="1" applyProtection="1">
      <alignment vertical="center"/>
      <protection locked="0"/>
    </xf>
    <xf numFmtId="0" fontId="0" fillId="4" borderId="29" xfId="0" applyFill="1" applyBorder="1" applyProtection="1">
      <alignment vertical="center"/>
      <protection locked="0"/>
    </xf>
    <xf numFmtId="0" fontId="0" fillId="0" borderId="29" xfId="0" applyBorder="1" applyProtection="1">
      <alignment vertical="center"/>
      <protection locked="0"/>
    </xf>
    <xf numFmtId="0" fontId="14" fillId="0" borderId="0" xfId="0" applyFont="1" applyAlignment="1">
      <alignment horizontal="left" vertical="center" readingOrder="1"/>
    </xf>
    <xf numFmtId="0" fontId="3" fillId="2" borderId="30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0" fillId="6" borderId="28" xfId="0" applyFill="1" applyBorder="1" applyProtection="1">
      <alignment vertical="center"/>
      <protection locked="0"/>
    </xf>
    <xf numFmtId="0" fontId="0" fillId="6" borderId="31" xfId="0" applyFill="1" applyBorder="1" applyProtection="1">
      <alignment vertical="center"/>
      <protection locked="0"/>
    </xf>
    <xf numFmtId="0" fontId="0" fillId="0" borderId="31" xfId="0" applyBorder="1" applyProtection="1">
      <alignment vertical="center"/>
      <protection locked="0"/>
    </xf>
    <xf numFmtId="0" fontId="3" fillId="2" borderId="31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0" fillId="7" borderId="15" xfId="0" applyFill="1" applyBorder="1" applyProtection="1">
      <alignment vertical="center"/>
      <protection locked="0"/>
    </xf>
    <xf numFmtId="0" fontId="0" fillId="7" borderId="18" xfId="0" applyFill="1" applyBorder="1" applyProtection="1">
      <alignment vertical="center"/>
      <protection locked="0"/>
    </xf>
    <xf numFmtId="0" fontId="0" fillId="7" borderId="29" xfId="0" applyFill="1" applyBorder="1" applyProtection="1">
      <alignment vertical="center"/>
      <protection locked="0"/>
    </xf>
    <xf numFmtId="0" fontId="0" fillId="7" borderId="31" xfId="0" applyFill="1" applyBorder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0" fontId="3" fillId="7" borderId="2" xfId="0" applyFont="1" applyFill="1" applyBorder="1" applyAlignment="1">
      <alignment horizontal="center" vertical="center" textRotation="255"/>
    </xf>
    <xf numFmtId="0" fontId="2" fillId="7" borderId="7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7" xfId="0" applyFont="1" applyFill="1" applyBorder="1" applyAlignment="1" applyProtection="1">
      <alignment horizontal="center" vertical="center"/>
      <protection locked="0"/>
    </xf>
    <xf numFmtId="0" fontId="2" fillId="7" borderId="16" xfId="0" applyFont="1" applyFill="1" applyBorder="1" applyAlignment="1" applyProtection="1">
      <alignment horizontal="center" vertical="center"/>
      <protection locked="0"/>
    </xf>
    <xf numFmtId="0" fontId="0" fillId="7" borderId="13" xfId="0" applyFill="1" applyBorder="1" applyProtection="1">
      <alignment vertical="center"/>
      <protection locked="0"/>
    </xf>
    <xf numFmtId="0" fontId="0" fillId="7" borderId="16" xfId="0" applyFill="1" applyBorder="1" applyProtection="1">
      <alignment vertical="center"/>
      <protection locked="0"/>
    </xf>
    <xf numFmtId="0" fontId="0" fillId="7" borderId="19" xfId="0" applyFill="1" applyBorder="1" applyProtection="1">
      <alignment vertical="center"/>
      <protection locked="0"/>
    </xf>
    <xf numFmtId="0" fontId="16" fillId="0" borderId="29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32" xfId="0" applyBorder="1" applyProtection="1">
      <alignment vertical="center"/>
      <protection locked="0"/>
    </xf>
    <xf numFmtId="0" fontId="2" fillId="6" borderId="1" xfId="0" applyFont="1" applyFill="1" applyBorder="1" applyAlignment="1">
      <alignment horizontal="center" vertical="center" textRotation="255"/>
    </xf>
    <xf numFmtId="0" fontId="2" fillId="6" borderId="6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6" xfId="0" applyFont="1" applyFill="1" applyBorder="1" applyAlignment="1" applyProtection="1">
      <alignment horizontal="center" vertical="center"/>
      <protection locked="0"/>
    </xf>
    <xf numFmtId="0" fontId="2" fillId="6" borderId="15" xfId="0" applyFont="1" applyFill="1" applyBorder="1" applyAlignment="1" applyProtection="1">
      <alignment horizontal="center" vertical="center"/>
      <protection locked="0"/>
    </xf>
    <xf numFmtId="0" fontId="0" fillId="6" borderId="12" xfId="0" applyFill="1" applyBorder="1" applyProtection="1">
      <alignment vertical="center"/>
      <protection locked="0"/>
    </xf>
    <xf numFmtId="177" fontId="11" fillId="0" borderId="20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3" fillId="5" borderId="20" xfId="0" applyFont="1" applyFill="1" applyBorder="1" applyAlignment="1">
      <alignment horizontal="center" vertical="center" wrapText="1" shrinkToFit="1"/>
    </xf>
    <xf numFmtId="0" fontId="0" fillId="0" borderId="2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bgColor rgb="FFFFCCFF"/>
        </patternFill>
      </fill>
    </dxf>
    <dxf>
      <fill>
        <patternFill>
          <bgColor theme="7" tint="0.79998168889431442"/>
        </patternFill>
      </fill>
    </dxf>
    <dxf>
      <fill>
        <patternFill>
          <bgColor rgb="FFFFCCFF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26" Type="http://schemas.openxmlformats.org/officeDocument/2006/relationships/externalLink" Target="externalLinks/externalLink23.xml"/><Relationship Id="rId39" Type="http://schemas.openxmlformats.org/officeDocument/2006/relationships/externalLink" Target="externalLinks/externalLink36.xml"/><Relationship Id="rId21" Type="http://schemas.openxmlformats.org/officeDocument/2006/relationships/externalLink" Target="externalLinks/externalLink18.xml"/><Relationship Id="rId34" Type="http://schemas.openxmlformats.org/officeDocument/2006/relationships/externalLink" Target="externalLinks/externalLink31.xml"/><Relationship Id="rId42" Type="http://schemas.openxmlformats.org/officeDocument/2006/relationships/externalLink" Target="externalLinks/externalLink39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9" Type="http://schemas.openxmlformats.org/officeDocument/2006/relationships/externalLink" Target="externalLinks/externalLink26.xml"/><Relationship Id="rId11" Type="http://schemas.openxmlformats.org/officeDocument/2006/relationships/externalLink" Target="externalLinks/externalLink8.xml"/><Relationship Id="rId24" Type="http://schemas.openxmlformats.org/officeDocument/2006/relationships/externalLink" Target="externalLinks/externalLink21.xml"/><Relationship Id="rId32" Type="http://schemas.openxmlformats.org/officeDocument/2006/relationships/externalLink" Target="externalLinks/externalLink29.xml"/><Relationship Id="rId37" Type="http://schemas.openxmlformats.org/officeDocument/2006/relationships/externalLink" Target="externalLinks/externalLink34.xml"/><Relationship Id="rId40" Type="http://schemas.openxmlformats.org/officeDocument/2006/relationships/externalLink" Target="externalLinks/externalLink37.xml"/><Relationship Id="rId45" Type="http://schemas.openxmlformats.org/officeDocument/2006/relationships/externalLink" Target="externalLinks/externalLink42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externalLink" Target="externalLinks/externalLink20.xml"/><Relationship Id="rId28" Type="http://schemas.openxmlformats.org/officeDocument/2006/relationships/externalLink" Target="externalLinks/externalLink25.xml"/><Relationship Id="rId36" Type="http://schemas.openxmlformats.org/officeDocument/2006/relationships/externalLink" Target="externalLinks/externalLink33.xml"/><Relationship Id="rId49" Type="http://schemas.openxmlformats.org/officeDocument/2006/relationships/sharedStrings" Target="sharedStrings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31" Type="http://schemas.openxmlformats.org/officeDocument/2006/relationships/externalLink" Target="externalLinks/externalLink28.xml"/><Relationship Id="rId44" Type="http://schemas.openxmlformats.org/officeDocument/2006/relationships/externalLink" Target="externalLinks/externalLink4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externalLink" Target="externalLinks/externalLink19.xml"/><Relationship Id="rId27" Type="http://schemas.openxmlformats.org/officeDocument/2006/relationships/externalLink" Target="externalLinks/externalLink24.xml"/><Relationship Id="rId30" Type="http://schemas.openxmlformats.org/officeDocument/2006/relationships/externalLink" Target="externalLinks/externalLink27.xml"/><Relationship Id="rId35" Type="http://schemas.openxmlformats.org/officeDocument/2006/relationships/externalLink" Target="externalLinks/externalLink32.xml"/><Relationship Id="rId43" Type="http://schemas.openxmlformats.org/officeDocument/2006/relationships/externalLink" Target="externalLinks/externalLink40.xml"/><Relationship Id="rId48" Type="http://schemas.openxmlformats.org/officeDocument/2006/relationships/styles" Target="styles.xml"/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externalLink" Target="externalLinks/externalLink22.xml"/><Relationship Id="rId33" Type="http://schemas.openxmlformats.org/officeDocument/2006/relationships/externalLink" Target="externalLinks/externalLink30.xml"/><Relationship Id="rId38" Type="http://schemas.openxmlformats.org/officeDocument/2006/relationships/externalLink" Target="externalLinks/externalLink35.xml"/><Relationship Id="rId46" Type="http://schemas.openxmlformats.org/officeDocument/2006/relationships/externalLink" Target="externalLinks/externalLink43.xml"/><Relationship Id="rId20" Type="http://schemas.openxmlformats.org/officeDocument/2006/relationships/externalLink" Target="externalLinks/externalLink17.xml"/><Relationship Id="rId41" Type="http://schemas.openxmlformats.org/officeDocument/2006/relationships/externalLink" Target="externalLinks/externalLink38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</xdr:colOff>
      <xdr:row>0</xdr:row>
      <xdr:rowOff>114300</xdr:rowOff>
    </xdr:from>
    <xdr:to>
      <xdr:col>5</xdr:col>
      <xdr:colOff>480060</xdr:colOff>
      <xdr:row>0</xdr:row>
      <xdr:rowOff>472440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960" y="114300"/>
          <a:ext cx="1882140" cy="3581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100" b="1"/>
            <a:t>第</a:t>
          </a:r>
          <a:r>
            <a:rPr kumimoji="1" lang="en-US" altLang="ja-JP" sz="1100" b="1"/>
            <a:t>2</a:t>
          </a:r>
          <a:r>
            <a:rPr kumimoji="1" lang="ja-JP" altLang="en-US" sz="1100" b="1"/>
            <a:t>水曜、第</a:t>
          </a:r>
          <a:r>
            <a:rPr kumimoji="1" lang="en-US" altLang="ja-JP" sz="1100" b="1"/>
            <a:t>3</a:t>
          </a:r>
          <a:r>
            <a:rPr kumimoji="1" lang="ja-JP" altLang="en-US" sz="1100" b="1"/>
            <a:t>火曜、第</a:t>
          </a:r>
          <a:r>
            <a:rPr kumimoji="1" lang="en-US" altLang="ja-JP" sz="1100" b="1"/>
            <a:t>4</a:t>
          </a:r>
          <a:r>
            <a:rPr kumimoji="1" lang="ja-JP" altLang="en-US" sz="1100" b="1"/>
            <a:t>水曜</a:t>
          </a:r>
          <a:endParaRPr kumimoji="1" lang="en-US" altLang="ja-JP" sz="1100" b="1"/>
        </a:p>
        <a:p>
          <a:pPr algn="ctr"/>
          <a:endParaRPr kumimoji="1" lang="ja-JP" altLang="en-US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6032;&#35215;&#21220;&#21209;&#34920;&#65288;2022&#24180;6&#26376;&#12363;&#12425;&#65289;/&#21220;&#21209;&#34920;(2022-06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19-1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2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3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4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5)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6)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7)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8)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9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10)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11)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0-12)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1)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2)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3)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4)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5)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6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7)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8)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09)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10)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11)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1-12)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1)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2)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3)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4)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5)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6)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7)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8)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09)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10)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2-11)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3-01)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3-02)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3-04)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3-05)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3-06)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&#21220;&#21209;&#34920;(2023-07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44713</v>
          </cell>
          <cell r="E1">
            <v>44714</v>
          </cell>
          <cell r="F1">
            <v>44715</v>
          </cell>
          <cell r="G1">
            <v>44716</v>
          </cell>
          <cell r="H1">
            <v>44717</v>
          </cell>
          <cell r="I1">
            <v>44718</v>
          </cell>
          <cell r="J1">
            <v>44719</v>
          </cell>
          <cell r="K1">
            <v>44720</v>
          </cell>
          <cell r="L1">
            <v>44721</v>
          </cell>
          <cell r="M1">
            <v>44722</v>
          </cell>
          <cell r="N1">
            <v>44723</v>
          </cell>
          <cell r="O1">
            <v>44724</v>
          </cell>
          <cell r="P1">
            <v>44725</v>
          </cell>
          <cell r="Q1">
            <v>44726</v>
          </cell>
          <cell r="R1">
            <v>44727</v>
          </cell>
          <cell r="S1">
            <v>44728</v>
          </cell>
          <cell r="T1">
            <v>44729</v>
          </cell>
          <cell r="U1">
            <v>44730</v>
          </cell>
          <cell r="V1">
            <v>44731</v>
          </cell>
          <cell r="W1">
            <v>44732</v>
          </cell>
          <cell r="X1">
            <v>44733</v>
          </cell>
          <cell r="Y1">
            <v>44734</v>
          </cell>
          <cell r="Z1">
            <v>44735</v>
          </cell>
          <cell r="AA1">
            <v>44736</v>
          </cell>
          <cell r="AB1">
            <v>44737</v>
          </cell>
          <cell r="AC1">
            <v>44738</v>
          </cell>
          <cell r="AD1">
            <v>44739</v>
          </cell>
          <cell r="AE1">
            <v>44740</v>
          </cell>
          <cell r="AF1">
            <v>44741</v>
          </cell>
          <cell r="AG1">
            <v>44742</v>
          </cell>
          <cell r="AH1" t="str">
            <v/>
          </cell>
        </row>
        <row r="2">
          <cell r="D2">
            <v>44713</v>
          </cell>
          <cell r="E2">
            <v>44714</v>
          </cell>
          <cell r="F2">
            <v>44715</v>
          </cell>
          <cell r="G2">
            <v>44716</v>
          </cell>
          <cell r="H2">
            <v>44717</v>
          </cell>
          <cell r="I2">
            <v>44718</v>
          </cell>
          <cell r="J2">
            <v>44719</v>
          </cell>
          <cell r="K2">
            <v>44720</v>
          </cell>
          <cell r="L2">
            <v>44721</v>
          </cell>
          <cell r="M2">
            <v>44722</v>
          </cell>
          <cell r="N2">
            <v>44723</v>
          </cell>
          <cell r="O2">
            <v>44724</v>
          </cell>
          <cell r="P2">
            <v>44725</v>
          </cell>
          <cell r="Q2">
            <v>44726</v>
          </cell>
          <cell r="R2">
            <v>44727</v>
          </cell>
          <cell r="S2">
            <v>44728</v>
          </cell>
          <cell r="T2">
            <v>44729</v>
          </cell>
          <cell r="U2">
            <v>44730</v>
          </cell>
          <cell r="V2">
            <v>44731</v>
          </cell>
          <cell r="W2">
            <v>44732</v>
          </cell>
          <cell r="X2">
            <v>44733</v>
          </cell>
          <cell r="Y2">
            <v>44734</v>
          </cell>
          <cell r="Z2">
            <v>44735</v>
          </cell>
          <cell r="AA2">
            <v>44736</v>
          </cell>
          <cell r="AB2">
            <v>44737</v>
          </cell>
          <cell r="AC2">
            <v>44738</v>
          </cell>
          <cell r="AD2">
            <v>44739</v>
          </cell>
          <cell r="AE2">
            <v>44740</v>
          </cell>
          <cell r="AF2">
            <v>44741</v>
          </cell>
          <cell r="AG2">
            <v>44742</v>
          </cell>
          <cell r="AH2" t="str">
            <v/>
          </cell>
        </row>
        <row r="3">
          <cell r="D3" t="str">
            <v>大橋</v>
          </cell>
          <cell r="E3" t="str">
            <v>松木</v>
          </cell>
          <cell r="F3" t="str">
            <v>清水</v>
          </cell>
          <cell r="G3" t="str">
            <v>長田</v>
          </cell>
          <cell r="H3" t="str">
            <v>大橋</v>
          </cell>
          <cell r="I3" t="str">
            <v>佐藤恵</v>
          </cell>
          <cell r="J3" t="str">
            <v>南</v>
          </cell>
          <cell r="K3" t="str">
            <v>山本</v>
          </cell>
          <cell r="L3" t="str">
            <v>齊藤</v>
          </cell>
          <cell r="M3" t="str">
            <v>清水</v>
          </cell>
          <cell r="N3" t="str">
            <v>林</v>
          </cell>
          <cell r="O3" t="str">
            <v>澤野</v>
          </cell>
          <cell r="P3" t="str">
            <v>加藤</v>
          </cell>
          <cell r="Q3" t="str">
            <v>佐藤恵</v>
          </cell>
          <cell r="R3" t="str">
            <v>山田</v>
          </cell>
          <cell r="S3" t="str">
            <v>平田恵</v>
          </cell>
          <cell r="T3" t="str">
            <v>長田</v>
          </cell>
          <cell r="U3" t="str">
            <v>大橋</v>
          </cell>
          <cell r="V3" t="str">
            <v>佐藤恵</v>
          </cell>
          <cell r="W3" t="str">
            <v>清水</v>
          </cell>
          <cell r="X3" t="str">
            <v>南</v>
          </cell>
          <cell r="Y3" t="str">
            <v>澤野</v>
          </cell>
          <cell r="Z3" t="str">
            <v>庵</v>
          </cell>
          <cell r="AA3" t="str">
            <v>山本</v>
          </cell>
          <cell r="AB3" t="str">
            <v>山田</v>
          </cell>
          <cell r="AC3" t="str">
            <v>清水</v>
          </cell>
          <cell r="AD3" t="str">
            <v>大橋</v>
          </cell>
          <cell r="AE3" t="str">
            <v>長田</v>
          </cell>
          <cell r="AF3" t="str">
            <v>山下</v>
          </cell>
          <cell r="AG3" t="str">
            <v>平田恵</v>
          </cell>
          <cell r="AH3" t="str">
            <v/>
          </cell>
        </row>
        <row r="4">
          <cell r="D4" t="str">
            <v>庵</v>
          </cell>
          <cell r="E4" t="str">
            <v>雨池</v>
          </cell>
          <cell r="F4" t="str">
            <v>佐藤穂</v>
          </cell>
          <cell r="G4" t="str">
            <v>諸田</v>
          </cell>
          <cell r="H4" t="str">
            <v>薬司</v>
          </cell>
          <cell r="I4" t="str">
            <v>樫田</v>
          </cell>
          <cell r="J4" t="str">
            <v>加藤</v>
          </cell>
          <cell r="K4" t="str">
            <v>田村</v>
          </cell>
          <cell r="L4" t="str">
            <v>松木</v>
          </cell>
          <cell r="M4" t="str">
            <v>庵</v>
          </cell>
          <cell r="N4" t="str">
            <v>佐藤恵</v>
          </cell>
          <cell r="O4" t="str">
            <v>西郡</v>
          </cell>
          <cell r="P4" t="str">
            <v>袋</v>
          </cell>
          <cell r="Q4" t="str">
            <v>諸田</v>
          </cell>
          <cell r="R4" t="str">
            <v>本田</v>
          </cell>
          <cell r="S4" t="str">
            <v>西郡</v>
          </cell>
          <cell r="T4" t="str">
            <v>薬司</v>
          </cell>
          <cell r="U4" t="str">
            <v>龍野</v>
          </cell>
          <cell r="V4" t="str">
            <v>佐藤穂</v>
          </cell>
          <cell r="W4" t="str">
            <v>福知</v>
          </cell>
          <cell r="X4" t="str">
            <v>加藤</v>
          </cell>
          <cell r="Y4" t="str">
            <v>松木</v>
          </cell>
          <cell r="Z4" t="str">
            <v>本田</v>
          </cell>
          <cell r="AA4" t="str">
            <v>田村</v>
          </cell>
          <cell r="AB4" t="str">
            <v>西郡</v>
          </cell>
          <cell r="AC4" t="str">
            <v>龍野</v>
          </cell>
          <cell r="AD4" t="str">
            <v>中村公</v>
          </cell>
          <cell r="AE4" t="str">
            <v>庵</v>
          </cell>
          <cell r="AF4" t="str">
            <v>田村</v>
          </cell>
          <cell r="AG4" t="str">
            <v>松木</v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  <row r="11"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</row>
        <row r="12"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  <cell r="AF12" t="str">
            <v/>
          </cell>
          <cell r="AG12" t="str">
            <v/>
          </cell>
          <cell r="AH12" t="str">
            <v/>
          </cell>
        </row>
        <row r="13"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/>
          </cell>
        </row>
        <row r="14"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</row>
        <row r="15"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</row>
        <row r="16"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  <cell r="AF16" t="str">
            <v/>
          </cell>
          <cell r="AG16" t="str">
            <v/>
          </cell>
          <cell r="AH16" t="str">
            <v/>
          </cell>
        </row>
        <row r="17"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  <cell r="AF17" t="str">
            <v/>
          </cell>
          <cell r="AG17" t="str">
            <v/>
          </cell>
          <cell r="AH17" t="str">
            <v/>
          </cell>
        </row>
        <row r="18"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</row>
        <row r="19"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</row>
        <row r="20"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</row>
        <row r="21">
          <cell r="D21"/>
          <cell r="E21"/>
          <cell r="F21"/>
          <cell r="G21"/>
          <cell r="H21"/>
          <cell r="I21"/>
          <cell r="J21"/>
          <cell r="K21"/>
          <cell r="L21"/>
          <cell r="M21"/>
          <cell r="N21"/>
          <cell r="O21"/>
          <cell r="P21"/>
          <cell r="Q21"/>
          <cell r="R21"/>
          <cell r="S21"/>
          <cell r="T21"/>
          <cell r="U21"/>
          <cell r="V21"/>
          <cell r="W21"/>
          <cell r="X21"/>
          <cell r="Y21"/>
          <cell r="Z21"/>
          <cell r="AA21"/>
          <cell r="AB21"/>
          <cell r="AC21"/>
          <cell r="AD21"/>
          <cell r="AE21"/>
          <cell r="AF21"/>
          <cell r="AG21"/>
          <cell r="AH21"/>
        </row>
        <row r="22"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/>
          <cell r="S22"/>
          <cell r="T22"/>
          <cell r="U22"/>
          <cell r="V22"/>
          <cell r="W22"/>
          <cell r="X22"/>
          <cell r="Y22"/>
          <cell r="Z22"/>
          <cell r="AA22"/>
          <cell r="AB22"/>
          <cell r="AC22"/>
          <cell r="AD22"/>
          <cell r="AE22"/>
          <cell r="AF22"/>
          <cell r="AG22"/>
          <cell r="AH22"/>
        </row>
        <row r="23">
          <cell r="D23"/>
          <cell r="E23"/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/>
          <cell r="Q23"/>
          <cell r="R23"/>
          <cell r="S23"/>
          <cell r="T23"/>
          <cell r="U23"/>
          <cell r="V23"/>
          <cell r="W23"/>
          <cell r="X23"/>
          <cell r="Y23"/>
          <cell r="Z23"/>
          <cell r="AA23"/>
          <cell r="AB23"/>
          <cell r="AC23"/>
          <cell r="AD23"/>
          <cell r="AE23"/>
          <cell r="AF23"/>
          <cell r="AG23"/>
          <cell r="AH23"/>
        </row>
        <row r="24">
          <cell r="D24"/>
          <cell r="E24"/>
          <cell r="F24"/>
          <cell r="G24"/>
          <cell r="H24"/>
          <cell r="I24"/>
          <cell r="J24"/>
          <cell r="K24"/>
          <cell r="L24"/>
          <cell r="M24"/>
          <cell r="N24"/>
          <cell r="O24"/>
          <cell r="P24"/>
          <cell r="Q24"/>
          <cell r="R24"/>
          <cell r="S24"/>
          <cell r="T24"/>
          <cell r="U24"/>
          <cell r="V24"/>
          <cell r="W24"/>
          <cell r="X24"/>
          <cell r="Y24"/>
          <cell r="Z24"/>
          <cell r="AA24"/>
          <cell r="AB24"/>
          <cell r="AC24"/>
          <cell r="AD24"/>
          <cell r="AE24"/>
          <cell r="AF24"/>
          <cell r="AG24"/>
          <cell r="AH24"/>
        </row>
        <row r="25">
          <cell r="D25"/>
          <cell r="E25"/>
          <cell r="F25"/>
          <cell r="G25"/>
          <cell r="H25"/>
          <cell r="I25"/>
          <cell r="J25"/>
          <cell r="K25"/>
          <cell r="L25"/>
          <cell r="M25"/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</row>
        <row r="26"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</row>
        <row r="27">
          <cell r="D27"/>
          <cell r="E27"/>
          <cell r="F27"/>
          <cell r="G27"/>
          <cell r="H27"/>
          <cell r="I27"/>
          <cell r="J27"/>
          <cell r="K27"/>
          <cell r="L27"/>
          <cell r="M27"/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</row>
        <row r="28">
          <cell r="D28"/>
          <cell r="E28"/>
          <cell r="F28"/>
          <cell r="G28"/>
          <cell r="H28"/>
          <cell r="I28"/>
          <cell r="J28"/>
          <cell r="K28"/>
          <cell r="L28"/>
          <cell r="M28"/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/>
          <cell r="AC28"/>
          <cell r="AD28"/>
          <cell r="AE28"/>
          <cell r="AF28"/>
          <cell r="AG28"/>
          <cell r="AH28"/>
        </row>
        <row r="29">
          <cell r="D29"/>
          <cell r="E29"/>
          <cell r="F29"/>
          <cell r="G29"/>
          <cell r="H29"/>
          <cell r="I29"/>
          <cell r="J29"/>
          <cell r="K29"/>
          <cell r="L29"/>
          <cell r="M29"/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</row>
        <row r="30">
          <cell r="D30"/>
          <cell r="E30"/>
          <cell r="F30"/>
          <cell r="G30"/>
          <cell r="H30"/>
          <cell r="I30"/>
          <cell r="J30"/>
          <cell r="K30"/>
          <cell r="L30"/>
          <cell r="M30"/>
          <cell r="N30"/>
          <cell r="O30"/>
          <cell r="P30"/>
          <cell r="Q30"/>
          <cell r="R30"/>
          <cell r="S30"/>
          <cell r="T30"/>
          <cell r="U30"/>
          <cell r="V30"/>
          <cell r="W30"/>
          <cell r="X30"/>
          <cell r="Y30"/>
          <cell r="Z30"/>
          <cell r="AA30"/>
          <cell r="AB30"/>
          <cell r="AC30"/>
          <cell r="AD30"/>
          <cell r="AE30"/>
          <cell r="AF30"/>
          <cell r="AG30"/>
          <cell r="AH30"/>
        </row>
        <row r="31">
          <cell r="D31"/>
          <cell r="E31"/>
          <cell r="F31"/>
          <cell r="G31"/>
          <cell r="H31"/>
          <cell r="I31"/>
          <cell r="J31"/>
          <cell r="K31"/>
          <cell r="L31"/>
          <cell r="M31"/>
          <cell r="N31"/>
          <cell r="O31"/>
          <cell r="P31"/>
          <cell r="Q31"/>
          <cell r="R31"/>
          <cell r="S31"/>
          <cell r="T31"/>
          <cell r="U31"/>
          <cell r="V31"/>
          <cell r="W31"/>
          <cell r="X31"/>
          <cell r="Y31"/>
          <cell r="Z31"/>
          <cell r="AA31"/>
          <cell r="AB31"/>
          <cell r="AC31"/>
          <cell r="AD31"/>
          <cell r="AE31"/>
          <cell r="AF31"/>
          <cell r="AG31"/>
          <cell r="AH31"/>
        </row>
        <row r="32">
          <cell r="D32"/>
          <cell r="E32"/>
          <cell r="F32"/>
          <cell r="G32"/>
          <cell r="H32"/>
          <cell r="I32"/>
          <cell r="J32"/>
          <cell r="K32"/>
          <cell r="L32"/>
          <cell r="M32"/>
          <cell r="N32"/>
          <cell r="O32"/>
          <cell r="P32"/>
          <cell r="Q32"/>
          <cell r="R32"/>
          <cell r="S32"/>
          <cell r="T32"/>
          <cell r="U32"/>
          <cell r="V32"/>
          <cell r="W32"/>
          <cell r="X32"/>
          <cell r="Y32"/>
          <cell r="Z32"/>
          <cell r="AA32"/>
          <cell r="AB32"/>
          <cell r="AC32"/>
          <cell r="AD32"/>
          <cell r="AE32"/>
          <cell r="AF32"/>
          <cell r="AG32"/>
          <cell r="AH32"/>
        </row>
        <row r="33">
          <cell r="D33"/>
          <cell r="E33"/>
          <cell r="F33"/>
          <cell r="G33"/>
          <cell r="H33"/>
          <cell r="I33"/>
          <cell r="J33"/>
          <cell r="K33"/>
          <cell r="L33"/>
          <cell r="M33"/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</row>
        <row r="34">
          <cell r="D34"/>
          <cell r="E34"/>
          <cell r="F34"/>
          <cell r="G34"/>
          <cell r="H34"/>
          <cell r="I34"/>
          <cell r="J34"/>
          <cell r="K34"/>
          <cell r="L34"/>
          <cell r="M34"/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</row>
        <row r="35">
          <cell r="D35"/>
          <cell r="E35"/>
          <cell r="F35"/>
          <cell r="G35"/>
          <cell r="H35"/>
          <cell r="I35"/>
          <cell r="J35"/>
          <cell r="K35"/>
          <cell r="L35"/>
          <cell r="M35"/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</row>
        <row r="36">
          <cell r="D36"/>
          <cell r="E36"/>
          <cell r="F36"/>
          <cell r="G36"/>
          <cell r="H36"/>
          <cell r="I36"/>
          <cell r="J36"/>
          <cell r="K36"/>
          <cell r="L36"/>
          <cell r="M36"/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</row>
        <row r="37">
          <cell r="D37"/>
          <cell r="E37"/>
          <cell r="F37"/>
          <cell r="G37"/>
          <cell r="H37"/>
          <cell r="I37"/>
          <cell r="J37"/>
          <cell r="K37"/>
          <cell r="L37"/>
          <cell r="M37"/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</row>
        <row r="38"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</row>
        <row r="39"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</row>
        <row r="40">
          <cell r="D40"/>
          <cell r="E40"/>
          <cell r="F40"/>
          <cell r="G40"/>
          <cell r="H40"/>
          <cell r="I40"/>
          <cell r="J40"/>
          <cell r="K40"/>
          <cell r="L40"/>
          <cell r="M40"/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</row>
        <row r="41"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</row>
        <row r="42">
          <cell r="D42"/>
          <cell r="E42"/>
          <cell r="F42"/>
          <cell r="G42"/>
          <cell r="H42"/>
          <cell r="I42"/>
          <cell r="J42"/>
          <cell r="K42"/>
          <cell r="L42"/>
          <cell r="M42"/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</row>
        <row r="43">
          <cell r="D43"/>
          <cell r="E43"/>
          <cell r="F43"/>
          <cell r="G43"/>
          <cell r="H43"/>
          <cell r="I43"/>
          <cell r="J43"/>
          <cell r="K43"/>
          <cell r="L43"/>
          <cell r="M43"/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</row>
        <row r="44">
          <cell r="D44"/>
          <cell r="E44"/>
          <cell r="F44"/>
          <cell r="G44"/>
          <cell r="H44"/>
          <cell r="I44"/>
          <cell r="J44"/>
          <cell r="K44"/>
          <cell r="L44"/>
          <cell r="M44"/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</row>
        <row r="45">
          <cell r="D45"/>
          <cell r="E45"/>
          <cell r="F45"/>
          <cell r="G45"/>
          <cell r="H45"/>
          <cell r="I45"/>
          <cell r="J45"/>
          <cell r="K45"/>
          <cell r="L45"/>
          <cell r="M45"/>
          <cell r="N45"/>
          <cell r="O45"/>
          <cell r="P45"/>
          <cell r="Q45"/>
          <cell r="R45"/>
          <cell r="S45"/>
          <cell r="T45"/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/>
          <cell r="AF45"/>
          <cell r="AG45"/>
          <cell r="AH45"/>
        </row>
        <row r="46"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/>
          <cell r="S46"/>
          <cell r="T46"/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/>
          <cell r="AF46"/>
          <cell r="AG46"/>
          <cell r="AH46"/>
        </row>
        <row r="47"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/>
          <cell r="S47"/>
          <cell r="T47"/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/>
          <cell r="AF47"/>
          <cell r="AG47"/>
          <cell r="AH47"/>
        </row>
        <row r="48">
          <cell r="D48"/>
          <cell r="E48"/>
          <cell r="F48"/>
          <cell r="G48"/>
          <cell r="H48"/>
          <cell r="I48"/>
          <cell r="J48"/>
          <cell r="K48"/>
          <cell r="L48"/>
          <cell r="M48"/>
          <cell r="N48"/>
          <cell r="O48"/>
          <cell r="P48"/>
          <cell r="Q48"/>
          <cell r="R48"/>
          <cell r="S48"/>
          <cell r="T48"/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/>
          <cell r="AF48"/>
          <cell r="AG48"/>
          <cell r="AH48"/>
        </row>
        <row r="49">
          <cell r="D49"/>
          <cell r="E49"/>
          <cell r="F49"/>
          <cell r="G49"/>
          <cell r="H49"/>
          <cell r="I49"/>
          <cell r="J49"/>
          <cell r="K49"/>
          <cell r="L49"/>
          <cell r="M49"/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</row>
        <row r="50">
          <cell r="D50"/>
          <cell r="E50"/>
          <cell r="F50"/>
          <cell r="G50"/>
          <cell r="H50"/>
          <cell r="I50"/>
          <cell r="J50"/>
          <cell r="K50"/>
          <cell r="L50"/>
          <cell r="M50"/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</row>
        <row r="51"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</row>
        <row r="52"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</row>
      </sheetData>
      <sheetData sheetId="9">
        <row r="1">
          <cell r="D1">
            <v>44713</v>
          </cell>
          <cell r="E1">
            <v>44714</v>
          </cell>
          <cell r="F1">
            <v>44715</v>
          </cell>
          <cell r="G1">
            <v>44716</v>
          </cell>
          <cell r="H1">
            <v>44717</v>
          </cell>
          <cell r="I1">
            <v>44718</v>
          </cell>
          <cell r="J1">
            <v>44719</v>
          </cell>
          <cell r="K1">
            <v>44720</v>
          </cell>
          <cell r="L1">
            <v>44721</v>
          </cell>
          <cell r="M1">
            <v>44722</v>
          </cell>
          <cell r="N1">
            <v>44723</v>
          </cell>
          <cell r="O1">
            <v>44724</v>
          </cell>
          <cell r="P1">
            <v>44725</v>
          </cell>
          <cell r="Q1">
            <v>44726</v>
          </cell>
          <cell r="R1">
            <v>44727</v>
          </cell>
          <cell r="S1">
            <v>44728</v>
          </cell>
          <cell r="T1">
            <v>44729</v>
          </cell>
          <cell r="U1">
            <v>44730</v>
          </cell>
          <cell r="V1">
            <v>44731</v>
          </cell>
          <cell r="W1">
            <v>44732</v>
          </cell>
          <cell r="X1">
            <v>44733</v>
          </cell>
          <cell r="Y1">
            <v>44734</v>
          </cell>
          <cell r="Z1">
            <v>44735</v>
          </cell>
          <cell r="AA1">
            <v>44736</v>
          </cell>
          <cell r="AB1">
            <v>44737</v>
          </cell>
          <cell r="AC1">
            <v>44738</v>
          </cell>
          <cell r="AD1">
            <v>44739</v>
          </cell>
          <cell r="AE1">
            <v>44740</v>
          </cell>
          <cell r="AF1">
            <v>44741</v>
          </cell>
          <cell r="AG1">
            <v>44742</v>
          </cell>
          <cell r="AH1" t="str">
            <v/>
          </cell>
        </row>
        <row r="2">
          <cell r="D2">
            <v>44713</v>
          </cell>
          <cell r="E2">
            <v>44714</v>
          </cell>
          <cell r="F2">
            <v>44715</v>
          </cell>
          <cell r="G2">
            <v>44716</v>
          </cell>
          <cell r="H2">
            <v>44717</v>
          </cell>
          <cell r="I2">
            <v>44718</v>
          </cell>
          <cell r="J2">
            <v>44719</v>
          </cell>
          <cell r="K2">
            <v>44720</v>
          </cell>
          <cell r="L2">
            <v>44721</v>
          </cell>
          <cell r="M2">
            <v>44722</v>
          </cell>
          <cell r="N2">
            <v>44723</v>
          </cell>
          <cell r="O2">
            <v>44724</v>
          </cell>
          <cell r="P2">
            <v>44725</v>
          </cell>
          <cell r="Q2">
            <v>44726</v>
          </cell>
          <cell r="R2">
            <v>44727</v>
          </cell>
          <cell r="S2">
            <v>44728</v>
          </cell>
          <cell r="T2">
            <v>44729</v>
          </cell>
          <cell r="U2">
            <v>44730</v>
          </cell>
          <cell r="V2">
            <v>44731</v>
          </cell>
          <cell r="W2">
            <v>44732</v>
          </cell>
          <cell r="X2">
            <v>44733</v>
          </cell>
          <cell r="Y2">
            <v>44734</v>
          </cell>
          <cell r="Z2">
            <v>44735</v>
          </cell>
          <cell r="AA2">
            <v>44736</v>
          </cell>
          <cell r="AB2">
            <v>44737</v>
          </cell>
          <cell r="AC2">
            <v>44738</v>
          </cell>
          <cell r="AD2">
            <v>44739</v>
          </cell>
          <cell r="AE2">
            <v>44740</v>
          </cell>
          <cell r="AF2">
            <v>44741</v>
          </cell>
          <cell r="AG2">
            <v>44742</v>
          </cell>
          <cell r="AH2" t="str">
            <v/>
          </cell>
        </row>
        <row r="3">
          <cell r="D3" t="str">
            <v>山村</v>
          </cell>
          <cell r="E3" t="str">
            <v>大橋</v>
          </cell>
          <cell r="F3" t="str">
            <v>松木</v>
          </cell>
          <cell r="G3" t="str">
            <v>木田</v>
          </cell>
          <cell r="H3" t="str">
            <v>山村</v>
          </cell>
          <cell r="I3" t="str">
            <v>大橋</v>
          </cell>
          <cell r="J3" t="str">
            <v>佐藤恵</v>
          </cell>
          <cell r="K3" t="str">
            <v>庵</v>
          </cell>
          <cell r="L3" t="str">
            <v/>
          </cell>
          <cell r="M3" t="str">
            <v>澤野</v>
          </cell>
          <cell r="N3" t="str">
            <v>木田</v>
          </cell>
          <cell r="O3" t="str">
            <v>山村</v>
          </cell>
          <cell r="P3" t="str">
            <v>澤野</v>
          </cell>
          <cell r="Q3" t="str">
            <v>加藤</v>
          </cell>
          <cell r="R3" t="str">
            <v/>
          </cell>
          <cell r="S3" t="str">
            <v>山本</v>
          </cell>
          <cell r="T3" t="str">
            <v>佐藤恵</v>
          </cell>
          <cell r="U3" t="str">
            <v>木田</v>
          </cell>
          <cell r="V3" t="str">
            <v>山村</v>
          </cell>
          <cell r="W3" t="str">
            <v>佐藤恵</v>
          </cell>
          <cell r="X3" t="str">
            <v>清水</v>
          </cell>
          <cell r="Y3" t="str">
            <v>樫田</v>
          </cell>
          <cell r="Z3" t="str">
            <v>大橋</v>
          </cell>
          <cell r="AA3" t="str">
            <v>吉田</v>
          </cell>
          <cell r="AB3" t="str">
            <v>木田</v>
          </cell>
          <cell r="AC3" t="str">
            <v>山村</v>
          </cell>
          <cell r="AD3" t="str">
            <v>清水</v>
          </cell>
          <cell r="AE3" t="str">
            <v>大橋</v>
          </cell>
          <cell r="AF3" t="str">
            <v>長田</v>
          </cell>
          <cell r="AG3" t="str">
            <v>山田</v>
          </cell>
          <cell r="AH3" t="str">
            <v/>
          </cell>
        </row>
        <row r="4">
          <cell r="D4" t="str">
            <v>山下</v>
          </cell>
          <cell r="E4" t="str">
            <v>山田</v>
          </cell>
          <cell r="F4" t="str">
            <v>雨池</v>
          </cell>
          <cell r="G4" t="str">
            <v/>
          </cell>
          <cell r="H4" t="str">
            <v>山下</v>
          </cell>
          <cell r="I4" t="str">
            <v>薬司</v>
          </cell>
          <cell r="J4" t="str">
            <v>樫田</v>
          </cell>
          <cell r="K4" t="str">
            <v>諸田</v>
          </cell>
          <cell r="L4" t="str">
            <v/>
          </cell>
          <cell r="M4" t="str">
            <v/>
          </cell>
          <cell r="N4" t="str">
            <v/>
          </cell>
          <cell r="O4" t="str">
            <v>山下</v>
          </cell>
          <cell r="P4" t="str">
            <v>西郡</v>
          </cell>
          <cell r="Q4" t="str">
            <v>袋</v>
          </cell>
          <cell r="R4" t="str">
            <v/>
          </cell>
          <cell r="S4" t="str">
            <v>林</v>
          </cell>
          <cell r="T4" t="str">
            <v>西郡</v>
          </cell>
          <cell r="U4" t="str">
            <v/>
          </cell>
          <cell r="V4" t="str">
            <v>山下</v>
          </cell>
          <cell r="W4" t="str">
            <v>佐藤穂</v>
          </cell>
          <cell r="X4" t="str">
            <v>福知</v>
          </cell>
          <cell r="Y4" t="str">
            <v/>
          </cell>
          <cell r="Z4" t="str">
            <v>龍野</v>
          </cell>
          <cell r="AA4" t="str">
            <v/>
          </cell>
          <cell r="AB4" t="str">
            <v/>
          </cell>
          <cell r="AC4" t="str">
            <v>山下</v>
          </cell>
          <cell r="AD4" t="str">
            <v>龍野</v>
          </cell>
          <cell r="AE4" t="str">
            <v>中村公</v>
          </cell>
          <cell r="AF4" t="str">
            <v>西郡</v>
          </cell>
          <cell r="AG4" t="str">
            <v>林</v>
          </cell>
          <cell r="AH4" t="str">
            <v/>
          </cell>
        </row>
        <row r="5">
          <cell r="D5" t="str">
            <v>平田恵</v>
          </cell>
          <cell r="E5" t="str">
            <v/>
          </cell>
          <cell r="F5" t="str">
            <v/>
          </cell>
          <cell r="G5" t="str">
            <v/>
          </cell>
          <cell r="H5" t="str">
            <v>平田恵</v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>平田恵</v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>平田恵</v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>平田恵</v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>長田</v>
          </cell>
          <cell r="E6" t="str">
            <v/>
          </cell>
          <cell r="F6" t="str">
            <v/>
          </cell>
          <cell r="G6" t="str">
            <v/>
          </cell>
          <cell r="H6" t="str">
            <v>長田</v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>長田</v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>長田</v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>長田</v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>中井</v>
          </cell>
          <cell r="E7" t="str">
            <v/>
          </cell>
          <cell r="F7" t="str">
            <v/>
          </cell>
          <cell r="G7" t="str">
            <v/>
          </cell>
          <cell r="H7" t="str">
            <v>中井</v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>中井</v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>中井</v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>中井</v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>北</v>
          </cell>
          <cell r="E8" t="str">
            <v/>
          </cell>
          <cell r="F8" t="str">
            <v/>
          </cell>
          <cell r="G8" t="str">
            <v/>
          </cell>
          <cell r="H8" t="str">
            <v>北</v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>北</v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>北</v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>北</v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>中村映</v>
          </cell>
          <cell r="E9" t="str">
            <v/>
          </cell>
          <cell r="F9" t="str">
            <v/>
          </cell>
          <cell r="G9" t="str">
            <v/>
          </cell>
          <cell r="H9" t="str">
            <v>中村映</v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>中村映</v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>中村映</v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>中村映</v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>平田真</v>
          </cell>
          <cell r="E10" t="str">
            <v/>
          </cell>
          <cell r="F10" t="str">
            <v/>
          </cell>
          <cell r="G10" t="str">
            <v/>
          </cell>
          <cell r="H10" t="str">
            <v>平田真</v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>平田真</v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>平田真</v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>平田真</v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  <row r="11">
          <cell r="D11" t="str">
            <v>山本</v>
          </cell>
          <cell r="E11" t="str">
            <v/>
          </cell>
          <cell r="F11" t="str">
            <v/>
          </cell>
          <cell r="G11" t="str">
            <v/>
          </cell>
          <cell r="H11" t="str">
            <v>山本</v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>大橋</v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>大橋</v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>山本</v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</row>
        <row r="12">
          <cell r="D12" t="str">
            <v>南</v>
          </cell>
          <cell r="E12" t="str">
            <v/>
          </cell>
          <cell r="F12" t="str">
            <v/>
          </cell>
          <cell r="G12" t="str">
            <v/>
          </cell>
          <cell r="H12" t="str">
            <v>南</v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>南</v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>山本</v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>南</v>
          </cell>
          <cell r="AD12" t="str">
            <v/>
          </cell>
          <cell r="AE12" t="str">
            <v/>
          </cell>
          <cell r="AF12" t="str">
            <v/>
          </cell>
          <cell r="AG12" t="str">
            <v/>
          </cell>
          <cell r="AH12" t="str">
            <v/>
          </cell>
        </row>
        <row r="13">
          <cell r="D13" t="str">
            <v>澤野</v>
          </cell>
          <cell r="E13" t="str">
            <v/>
          </cell>
          <cell r="F13" t="str">
            <v/>
          </cell>
          <cell r="G13" t="str">
            <v/>
          </cell>
          <cell r="H13" t="str">
            <v>清水</v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>清水</v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>南</v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>澤野</v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/>
          </cell>
        </row>
        <row r="14">
          <cell r="D14" t="str">
            <v>清水</v>
          </cell>
          <cell r="E14" t="str">
            <v/>
          </cell>
          <cell r="F14" t="str">
            <v/>
          </cell>
          <cell r="G14" t="str">
            <v/>
          </cell>
          <cell r="H14" t="str">
            <v>坪野</v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>坪野</v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>澤野</v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>坪野</v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</row>
        <row r="15">
          <cell r="D15" t="str">
            <v>坪野</v>
          </cell>
          <cell r="E15" t="str">
            <v/>
          </cell>
          <cell r="F15" t="str">
            <v/>
          </cell>
          <cell r="G15" t="str">
            <v/>
          </cell>
          <cell r="H15" t="str">
            <v>山田</v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>山田</v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>坪野</v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>山田</v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</row>
        <row r="16">
          <cell r="D16" t="str">
            <v>冨田</v>
          </cell>
          <cell r="E16" t="str">
            <v/>
          </cell>
          <cell r="F16" t="str">
            <v/>
          </cell>
          <cell r="G16" t="str">
            <v/>
          </cell>
          <cell r="H16" t="str">
            <v>冨田</v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>冨田</v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>山田</v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>冨田</v>
          </cell>
          <cell r="AD16" t="str">
            <v/>
          </cell>
          <cell r="AE16" t="str">
            <v/>
          </cell>
          <cell r="AF16" t="str">
            <v/>
          </cell>
          <cell r="AG16" t="str">
            <v/>
          </cell>
          <cell r="AH16" t="str">
            <v/>
          </cell>
        </row>
        <row r="17">
          <cell r="D17" t="str">
            <v>長迫</v>
          </cell>
          <cell r="E17" t="str">
            <v/>
          </cell>
          <cell r="F17" t="str">
            <v/>
          </cell>
          <cell r="G17" t="str">
            <v/>
          </cell>
          <cell r="H17" t="str">
            <v>長迫</v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>長迫</v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>冨田</v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>長迫</v>
          </cell>
          <cell r="AD17" t="str">
            <v/>
          </cell>
          <cell r="AE17" t="str">
            <v/>
          </cell>
          <cell r="AF17" t="str">
            <v/>
          </cell>
          <cell r="AG17" t="str">
            <v/>
          </cell>
          <cell r="AH17" t="str">
            <v/>
          </cell>
        </row>
        <row r="18">
          <cell r="D18" t="str">
            <v>林</v>
          </cell>
          <cell r="E18" t="str">
            <v/>
          </cell>
          <cell r="F18" t="str">
            <v/>
          </cell>
          <cell r="G18" t="str">
            <v/>
          </cell>
          <cell r="H18" t="str">
            <v>林</v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>林</v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>長迫</v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>吉田</v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</row>
        <row r="19">
          <cell r="D19" t="str">
            <v>吉田</v>
          </cell>
          <cell r="E19" t="str">
            <v/>
          </cell>
          <cell r="F19" t="str">
            <v/>
          </cell>
          <cell r="G19" t="str">
            <v/>
          </cell>
          <cell r="H19" t="str">
            <v>吉田</v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>吉田</v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>林</v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>田村</v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</row>
        <row r="20">
          <cell r="D20" t="str">
            <v>田村</v>
          </cell>
          <cell r="E20" t="str">
            <v/>
          </cell>
          <cell r="F20" t="str">
            <v/>
          </cell>
          <cell r="G20" t="str">
            <v/>
          </cell>
          <cell r="H20" t="str">
            <v>田村</v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>田村</v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>田村</v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>齊藤</v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</row>
        <row r="21">
          <cell r="D21" t="str">
            <v>齊藤</v>
          </cell>
          <cell r="E21" t="str">
            <v/>
          </cell>
          <cell r="F21" t="str">
            <v/>
          </cell>
          <cell r="G21" t="str">
            <v/>
          </cell>
          <cell r="H21" t="str">
            <v>齊藤</v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>齊藤</v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>齊藤</v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>庵</v>
          </cell>
          <cell r="AD21" t="str">
            <v/>
          </cell>
          <cell r="AE21" t="str">
            <v/>
          </cell>
          <cell r="AF21" t="str">
            <v/>
          </cell>
          <cell r="AG21" t="str">
            <v/>
          </cell>
          <cell r="AH21" t="str">
            <v/>
          </cell>
        </row>
        <row r="22">
          <cell r="D22" t="str">
            <v>佐藤恵</v>
          </cell>
          <cell r="E22" t="str">
            <v/>
          </cell>
          <cell r="F22" t="str">
            <v/>
          </cell>
          <cell r="G22" t="str">
            <v/>
          </cell>
          <cell r="H22" t="str">
            <v>庵</v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>庵</v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>庵</v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>佐藤恵</v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</row>
        <row r="23">
          <cell r="D23" t="str">
            <v>加藤</v>
          </cell>
          <cell r="E23" t="str">
            <v/>
          </cell>
          <cell r="F23" t="str">
            <v/>
          </cell>
          <cell r="G23" t="str">
            <v/>
          </cell>
          <cell r="H23" t="str">
            <v>加藤</v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>佐藤恵</v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>加藤</v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>加藤</v>
          </cell>
          <cell r="AD23" t="str">
            <v/>
          </cell>
          <cell r="AE23" t="str">
            <v/>
          </cell>
          <cell r="AF23" t="str">
            <v/>
          </cell>
          <cell r="AG23" t="str">
            <v/>
          </cell>
          <cell r="AH23" t="str">
            <v/>
          </cell>
        </row>
        <row r="24">
          <cell r="D24" t="str">
            <v>本田</v>
          </cell>
          <cell r="E24" t="str">
            <v/>
          </cell>
          <cell r="F24" t="str">
            <v/>
          </cell>
          <cell r="G24" t="str">
            <v/>
          </cell>
          <cell r="H24" t="str">
            <v>本田</v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>本田</v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>本田</v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>本田</v>
          </cell>
          <cell r="AD24" t="str">
            <v/>
          </cell>
          <cell r="AE24" t="str">
            <v/>
          </cell>
          <cell r="AF24" t="str">
            <v/>
          </cell>
          <cell r="AG24" t="str">
            <v/>
          </cell>
          <cell r="AH24" t="str">
            <v/>
          </cell>
        </row>
        <row r="25">
          <cell r="D25" t="str">
            <v>佐藤穂</v>
          </cell>
          <cell r="E25" t="str">
            <v/>
          </cell>
          <cell r="F25" t="str">
            <v/>
          </cell>
          <cell r="G25" t="str">
            <v/>
          </cell>
          <cell r="H25" t="str">
            <v>佐藤穂</v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>佐藤穂</v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>薬司</v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>佐藤穂</v>
          </cell>
          <cell r="AD25" t="str">
            <v/>
          </cell>
          <cell r="AE25" t="str">
            <v/>
          </cell>
          <cell r="AF25" t="str">
            <v/>
          </cell>
          <cell r="AG25" t="str">
            <v/>
          </cell>
          <cell r="AH25" t="str">
            <v/>
          </cell>
        </row>
        <row r="26">
          <cell r="D26" t="str">
            <v>薬司</v>
          </cell>
          <cell r="E26" t="str">
            <v/>
          </cell>
          <cell r="F26" t="str">
            <v/>
          </cell>
          <cell r="G26" t="str">
            <v/>
          </cell>
          <cell r="H26" t="str">
            <v>龍野</v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>薬司</v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>龍野</v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>薬司</v>
          </cell>
          <cell r="AD26" t="str">
            <v/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</row>
        <row r="27">
          <cell r="D27" t="str">
            <v>龍野</v>
          </cell>
          <cell r="E27" t="str">
            <v/>
          </cell>
          <cell r="F27" t="str">
            <v/>
          </cell>
          <cell r="G27" t="str">
            <v/>
          </cell>
          <cell r="H27" t="str">
            <v>西郡</v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>龍野</v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>西郡</v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>西郡</v>
          </cell>
          <cell r="AD27" t="str">
            <v/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</row>
        <row r="28">
          <cell r="D28" t="str">
            <v>西郡</v>
          </cell>
          <cell r="E28" t="str">
            <v/>
          </cell>
          <cell r="F28" t="str">
            <v/>
          </cell>
          <cell r="G28" t="str">
            <v/>
          </cell>
          <cell r="H28" t="str">
            <v>松木</v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>松木</v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>松木</v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>松木</v>
          </cell>
          <cell r="AD28" t="str">
            <v/>
          </cell>
          <cell r="AE28" t="str">
            <v/>
          </cell>
          <cell r="AF28" t="str">
            <v/>
          </cell>
          <cell r="AG28" t="str">
            <v/>
          </cell>
          <cell r="AH28" t="str">
            <v/>
          </cell>
        </row>
        <row r="29">
          <cell r="D29" t="str">
            <v>諸田</v>
          </cell>
          <cell r="E29" t="str">
            <v/>
          </cell>
          <cell r="F29" t="str">
            <v/>
          </cell>
          <cell r="G29" t="str">
            <v/>
          </cell>
          <cell r="H29" t="str">
            <v>諸田</v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>諸田</v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>諸田</v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>諸田</v>
          </cell>
          <cell r="AD29" t="str">
            <v/>
          </cell>
          <cell r="AE29" t="str">
            <v/>
          </cell>
          <cell r="AF29" t="str">
            <v/>
          </cell>
          <cell r="AG29" t="str">
            <v/>
          </cell>
          <cell r="AH29" t="str">
            <v/>
          </cell>
        </row>
        <row r="30">
          <cell r="D30" t="str">
            <v>樫田</v>
          </cell>
          <cell r="E30" t="str">
            <v/>
          </cell>
          <cell r="F30" t="str">
            <v/>
          </cell>
          <cell r="G30" t="str">
            <v/>
          </cell>
          <cell r="H30" t="str">
            <v>中村公</v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>樫田</v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>樫田</v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>樫田</v>
          </cell>
          <cell r="AD30" t="str">
            <v/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</row>
        <row r="31">
          <cell r="D31" t="str">
            <v>中村公</v>
          </cell>
          <cell r="E31" t="str">
            <v/>
          </cell>
          <cell r="F31" t="str">
            <v/>
          </cell>
          <cell r="G31" t="str">
            <v/>
          </cell>
          <cell r="H31" t="str">
            <v>福知</v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>中村公</v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>中村公</v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>福知</v>
          </cell>
          <cell r="AD31" t="str">
            <v/>
          </cell>
          <cell r="AE31" t="str">
            <v/>
          </cell>
          <cell r="AF31" t="str">
            <v/>
          </cell>
          <cell r="AG31" t="str">
            <v/>
          </cell>
          <cell r="AH31" t="str">
            <v/>
          </cell>
        </row>
        <row r="32">
          <cell r="D32" t="str">
            <v>福知</v>
          </cell>
          <cell r="E32" t="str">
            <v/>
          </cell>
          <cell r="F32" t="str">
            <v/>
          </cell>
          <cell r="G32" t="str">
            <v/>
          </cell>
          <cell r="H32" t="str">
            <v>袋</v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>福知</v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>袋</v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>袋</v>
          </cell>
          <cell r="AD32" t="str">
            <v/>
          </cell>
          <cell r="AE32" t="str">
            <v/>
          </cell>
          <cell r="AF32" t="str">
            <v/>
          </cell>
          <cell r="AG32" t="str">
            <v/>
          </cell>
          <cell r="AH32" t="str">
            <v/>
          </cell>
        </row>
        <row r="33">
          <cell r="D33" t="str">
            <v>袋</v>
          </cell>
          <cell r="E33" t="str">
            <v/>
          </cell>
          <cell r="F33" t="str">
            <v/>
          </cell>
          <cell r="G33" t="str">
            <v/>
          </cell>
          <cell r="H33" t="str">
            <v>雨池</v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>雨池</v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>雨池</v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>雨池</v>
          </cell>
          <cell r="AD33" t="str">
            <v/>
          </cell>
          <cell r="AE33" t="str">
            <v/>
          </cell>
          <cell r="AF33" t="str">
            <v/>
          </cell>
          <cell r="AG33" t="str">
            <v/>
          </cell>
          <cell r="AH33" t="str">
            <v/>
          </cell>
        </row>
        <row r="34">
          <cell r="D34" t="str">
            <v>中川大</v>
          </cell>
          <cell r="E34" t="str">
            <v/>
          </cell>
          <cell r="F34" t="str">
            <v/>
          </cell>
          <cell r="G34" t="str">
            <v/>
          </cell>
          <cell r="H34" t="str">
            <v>中川大</v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>中川大</v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>中川大</v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>中川大</v>
          </cell>
          <cell r="AD34" t="str">
            <v/>
          </cell>
          <cell r="AE34" t="str">
            <v/>
          </cell>
          <cell r="AF34" t="str">
            <v/>
          </cell>
          <cell r="AG34" t="str">
            <v/>
          </cell>
          <cell r="AH34" t="str">
            <v/>
          </cell>
        </row>
        <row r="35">
          <cell r="D35" t="str">
            <v>奥野</v>
          </cell>
          <cell r="E35" t="str">
            <v/>
          </cell>
          <cell r="F35" t="str">
            <v/>
          </cell>
          <cell r="G35" t="str">
            <v/>
          </cell>
          <cell r="H35" t="str">
            <v>奥野</v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>奥野</v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>奥野</v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>奥野</v>
          </cell>
          <cell r="AD35" t="str">
            <v/>
          </cell>
          <cell r="AE35" t="str">
            <v/>
          </cell>
          <cell r="AF35" t="str">
            <v/>
          </cell>
          <cell r="AG35" t="str">
            <v/>
          </cell>
          <cell r="AH35" t="str">
            <v/>
          </cell>
        </row>
        <row r="36">
          <cell r="D36" t="str">
            <v>杉田</v>
          </cell>
          <cell r="E36" t="str">
            <v/>
          </cell>
          <cell r="F36" t="str">
            <v/>
          </cell>
          <cell r="G36" t="str">
            <v/>
          </cell>
          <cell r="H36" t="str">
            <v>杉田</v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>杉田</v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>杉田</v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>杉田</v>
          </cell>
          <cell r="AD36" t="str">
            <v/>
          </cell>
          <cell r="AE36" t="str">
            <v/>
          </cell>
          <cell r="AF36" t="str">
            <v/>
          </cell>
          <cell r="AG36" t="str">
            <v/>
          </cell>
          <cell r="AH36" t="str">
            <v/>
          </cell>
        </row>
        <row r="37">
          <cell r="D37" t="str">
            <v>能登</v>
          </cell>
          <cell r="E37" t="str">
            <v/>
          </cell>
          <cell r="F37" t="str">
            <v/>
          </cell>
          <cell r="G37" t="str">
            <v/>
          </cell>
          <cell r="H37" t="str">
            <v>能登</v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>能登</v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>能登</v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>能登</v>
          </cell>
          <cell r="AD37" t="str">
            <v/>
          </cell>
          <cell r="AE37" t="str">
            <v/>
          </cell>
          <cell r="AF37" t="str">
            <v/>
          </cell>
          <cell r="AG37" t="str">
            <v/>
          </cell>
          <cell r="AH37" t="str">
            <v/>
          </cell>
        </row>
        <row r="38">
          <cell r="D38" t="str">
            <v>中川香</v>
          </cell>
          <cell r="E38" t="str">
            <v/>
          </cell>
          <cell r="F38" t="str">
            <v/>
          </cell>
          <cell r="G38" t="str">
            <v/>
          </cell>
          <cell r="H38" t="str">
            <v>中川香</v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>中川香</v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>中川香</v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>中川香</v>
          </cell>
          <cell r="AD38" t="str">
            <v/>
          </cell>
          <cell r="AE38" t="str">
            <v/>
          </cell>
          <cell r="AF38" t="str">
            <v/>
          </cell>
          <cell r="AG38" t="str">
            <v/>
          </cell>
          <cell r="AH38" t="str">
            <v/>
          </cell>
        </row>
        <row r="39">
          <cell r="D39" t="str">
            <v>木田</v>
          </cell>
          <cell r="E39" t="str">
            <v/>
          </cell>
          <cell r="F39" t="str">
            <v/>
          </cell>
          <cell r="G39" t="str">
            <v/>
          </cell>
          <cell r="H39" t="str">
            <v>木田</v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>木田</v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>木田</v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>木田</v>
          </cell>
          <cell r="AD39" t="str">
            <v/>
          </cell>
          <cell r="AE39" t="str">
            <v/>
          </cell>
          <cell r="AF39" t="str">
            <v/>
          </cell>
          <cell r="AG39" t="str">
            <v/>
          </cell>
          <cell r="AH39" t="str">
            <v/>
          </cell>
        </row>
        <row r="40"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  <cell r="AF40" t="str">
            <v/>
          </cell>
          <cell r="AG40" t="str">
            <v/>
          </cell>
          <cell r="AH40" t="str">
            <v/>
          </cell>
        </row>
        <row r="41"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  <cell r="AF41" t="str">
            <v/>
          </cell>
          <cell r="AG41" t="str">
            <v/>
          </cell>
          <cell r="AH41" t="str">
            <v/>
          </cell>
        </row>
        <row r="42"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  <cell r="AF42" t="str">
            <v/>
          </cell>
          <cell r="AG42" t="str">
            <v/>
          </cell>
          <cell r="AH42" t="str">
            <v/>
          </cell>
        </row>
        <row r="43"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  <cell r="AF43" t="str">
            <v/>
          </cell>
          <cell r="AG43" t="str">
            <v/>
          </cell>
          <cell r="AH43" t="str">
            <v/>
          </cell>
        </row>
        <row r="44"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  <cell r="AF44" t="str">
            <v/>
          </cell>
          <cell r="AG44" t="str">
            <v/>
          </cell>
          <cell r="AH44" t="str">
            <v/>
          </cell>
        </row>
        <row r="45"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  <cell r="AF45" t="str">
            <v/>
          </cell>
          <cell r="AG45" t="str">
            <v/>
          </cell>
          <cell r="AH45" t="str">
            <v/>
          </cell>
        </row>
        <row r="46"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  <cell r="AF46" t="str">
            <v/>
          </cell>
          <cell r="AG46" t="str">
            <v/>
          </cell>
          <cell r="AH46" t="str">
            <v/>
          </cell>
        </row>
        <row r="47"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  <cell r="AF47" t="str">
            <v/>
          </cell>
          <cell r="AG47" t="str">
            <v/>
          </cell>
          <cell r="AH47" t="str">
            <v/>
          </cell>
        </row>
        <row r="48"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  <cell r="AF48" t="str">
            <v/>
          </cell>
          <cell r="AG48" t="str">
            <v/>
          </cell>
          <cell r="AH48" t="str">
            <v/>
          </cell>
        </row>
        <row r="49"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  <cell r="AF49" t="str">
            <v/>
          </cell>
          <cell r="AG49" t="str">
            <v/>
          </cell>
          <cell r="AH49" t="str">
            <v/>
          </cell>
        </row>
        <row r="50"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  <cell r="AF50" t="str">
            <v/>
          </cell>
          <cell r="AG50" t="str">
            <v/>
          </cell>
          <cell r="AH50" t="str">
            <v/>
          </cell>
        </row>
        <row r="51"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</row>
        <row r="52"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  <cell r="AF52" t="str">
            <v/>
          </cell>
          <cell r="AG52" t="str">
            <v/>
          </cell>
          <cell r="AH52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D1">
            <v>44713</v>
          </cell>
          <cell r="E1">
            <v>44714</v>
          </cell>
          <cell r="F1">
            <v>44715</v>
          </cell>
          <cell r="G1">
            <v>44716</v>
          </cell>
          <cell r="H1">
            <v>44717</v>
          </cell>
          <cell r="I1">
            <v>44718</v>
          </cell>
          <cell r="J1">
            <v>44719</v>
          </cell>
          <cell r="K1">
            <v>44720</v>
          </cell>
          <cell r="L1">
            <v>44721</v>
          </cell>
          <cell r="M1">
            <v>44722</v>
          </cell>
          <cell r="N1">
            <v>44723</v>
          </cell>
          <cell r="O1">
            <v>44724</v>
          </cell>
          <cell r="P1">
            <v>44725</v>
          </cell>
          <cell r="Q1">
            <v>44726</v>
          </cell>
          <cell r="R1">
            <v>44727</v>
          </cell>
          <cell r="S1">
            <v>44728</v>
          </cell>
          <cell r="T1">
            <v>44729</v>
          </cell>
          <cell r="U1">
            <v>44730</v>
          </cell>
          <cell r="V1">
            <v>44731</v>
          </cell>
          <cell r="W1">
            <v>44732</v>
          </cell>
          <cell r="X1">
            <v>44733</v>
          </cell>
          <cell r="Y1">
            <v>44734</v>
          </cell>
          <cell r="Z1">
            <v>44735</v>
          </cell>
          <cell r="AA1">
            <v>44736</v>
          </cell>
          <cell r="AB1">
            <v>44737</v>
          </cell>
          <cell r="AC1">
            <v>44738</v>
          </cell>
          <cell r="AD1">
            <v>44739</v>
          </cell>
          <cell r="AE1">
            <v>44740</v>
          </cell>
          <cell r="AF1">
            <v>44741</v>
          </cell>
          <cell r="AG1">
            <v>44742</v>
          </cell>
          <cell r="AH1" t="str">
            <v/>
          </cell>
        </row>
        <row r="2">
          <cell r="D2">
            <v>44713</v>
          </cell>
          <cell r="E2">
            <v>44714</v>
          </cell>
          <cell r="F2">
            <v>44715</v>
          </cell>
          <cell r="G2">
            <v>44716</v>
          </cell>
          <cell r="H2">
            <v>44717</v>
          </cell>
          <cell r="I2">
            <v>44718</v>
          </cell>
          <cell r="J2">
            <v>44719</v>
          </cell>
          <cell r="K2">
            <v>44720</v>
          </cell>
          <cell r="L2">
            <v>44721</v>
          </cell>
          <cell r="M2">
            <v>44722</v>
          </cell>
          <cell r="N2">
            <v>44723</v>
          </cell>
          <cell r="O2">
            <v>44724</v>
          </cell>
          <cell r="P2">
            <v>44725</v>
          </cell>
          <cell r="Q2">
            <v>44726</v>
          </cell>
          <cell r="R2">
            <v>44727</v>
          </cell>
          <cell r="S2">
            <v>44728</v>
          </cell>
          <cell r="T2">
            <v>44729</v>
          </cell>
          <cell r="U2">
            <v>44730</v>
          </cell>
          <cell r="V2">
            <v>44731</v>
          </cell>
          <cell r="W2">
            <v>44732</v>
          </cell>
          <cell r="X2">
            <v>44733</v>
          </cell>
          <cell r="Y2">
            <v>44734</v>
          </cell>
          <cell r="Z2">
            <v>44735</v>
          </cell>
          <cell r="AA2">
            <v>44736</v>
          </cell>
          <cell r="AB2">
            <v>44737</v>
          </cell>
          <cell r="AC2">
            <v>44738</v>
          </cell>
          <cell r="AD2">
            <v>44739</v>
          </cell>
          <cell r="AE2">
            <v>44740</v>
          </cell>
          <cell r="AF2">
            <v>44741</v>
          </cell>
          <cell r="AG2">
            <v>44742</v>
          </cell>
          <cell r="AH2" t="str">
            <v/>
          </cell>
        </row>
        <row r="3">
          <cell r="D3" t="str">
            <v>山田</v>
          </cell>
          <cell r="E3" t="str">
            <v>山村</v>
          </cell>
          <cell r="F3" t="str">
            <v>山村</v>
          </cell>
          <cell r="G3" t="str">
            <v/>
          </cell>
          <cell r="H3" t="str">
            <v>澤野</v>
          </cell>
          <cell r="I3" t="str">
            <v>山村</v>
          </cell>
          <cell r="J3" t="str">
            <v>山村</v>
          </cell>
          <cell r="K3" t="str">
            <v>山村</v>
          </cell>
          <cell r="L3" t="str">
            <v>山村</v>
          </cell>
          <cell r="M3" t="str">
            <v>山村</v>
          </cell>
          <cell r="N3" t="str">
            <v/>
          </cell>
          <cell r="O3" t="str">
            <v>山本</v>
          </cell>
          <cell r="P3" t="str">
            <v>山村</v>
          </cell>
          <cell r="Q3" t="str">
            <v>山村</v>
          </cell>
          <cell r="R3" t="str">
            <v>山村</v>
          </cell>
          <cell r="S3" t="str">
            <v>山村</v>
          </cell>
          <cell r="T3" t="str">
            <v>山村</v>
          </cell>
          <cell r="U3" t="str">
            <v/>
          </cell>
          <cell r="V3" t="str">
            <v>吉田</v>
          </cell>
          <cell r="W3" t="str">
            <v>山村</v>
          </cell>
          <cell r="X3" t="str">
            <v>山村</v>
          </cell>
          <cell r="Y3" t="str">
            <v>山村</v>
          </cell>
          <cell r="Z3" t="str">
            <v>山村</v>
          </cell>
          <cell r="AA3" t="str">
            <v>山村</v>
          </cell>
          <cell r="AB3" t="str">
            <v/>
          </cell>
          <cell r="AC3" t="str">
            <v>林</v>
          </cell>
          <cell r="AD3" t="str">
            <v>山村</v>
          </cell>
          <cell r="AE3" t="str">
            <v>山村</v>
          </cell>
          <cell r="AF3" t="str">
            <v>山村</v>
          </cell>
          <cell r="AG3" t="str">
            <v>山村</v>
          </cell>
          <cell r="AH3" t="str">
            <v>山村</v>
          </cell>
        </row>
        <row r="4">
          <cell r="D4" t="str">
            <v/>
          </cell>
          <cell r="E4" t="str">
            <v>山下</v>
          </cell>
          <cell r="F4" t="str">
            <v>山下</v>
          </cell>
          <cell r="G4" t="str">
            <v/>
          </cell>
          <cell r="H4" t="str">
            <v/>
          </cell>
          <cell r="I4" t="str">
            <v>山下</v>
          </cell>
          <cell r="J4" t="str">
            <v>山下</v>
          </cell>
          <cell r="K4" t="str">
            <v>山下</v>
          </cell>
          <cell r="L4" t="str">
            <v>山下</v>
          </cell>
          <cell r="M4" t="str">
            <v>山下</v>
          </cell>
          <cell r="N4" t="str">
            <v/>
          </cell>
          <cell r="O4" t="str">
            <v/>
          </cell>
          <cell r="P4" t="str">
            <v>山下</v>
          </cell>
          <cell r="Q4" t="str">
            <v>山下</v>
          </cell>
          <cell r="R4" t="str">
            <v>山下</v>
          </cell>
          <cell r="S4" t="str">
            <v>山下</v>
          </cell>
          <cell r="T4" t="str">
            <v>山下</v>
          </cell>
          <cell r="U4" t="str">
            <v/>
          </cell>
          <cell r="V4" t="str">
            <v/>
          </cell>
          <cell r="W4" t="str">
            <v>山下</v>
          </cell>
          <cell r="X4" t="str">
            <v>山下</v>
          </cell>
          <cell r="Y4" t="str">
            <v>山下</v>
          </cell>
          <cell r="Z4" t="str">
            <v>山下</v>
          </cell>
          <cell r="AA4" t="str">
            <v>山下</v>
          </cell>
          <cell r="AB4" t="str">
            <v/>
          </cell>
          <cell r="AC4" t="str">
            <v/>
          </cell>
          <cell r="AD4" t="str">
            <v>山下</v>
          </cell>
          <cell r="AE4" t="str">
            <v>平田恵</v>
          </cell>
          <cell r="AF4" t="str">
            <v>中井</v>
          </cell>
          <cell r="AG4" t="str">
            <v>山下</v>
          </cell>
          <cell r="AH4" t="str">
            <v>山下</v>
          </cell>
        </row>
        <row r="5">
          <cell r="D5" t="str">
            <v/>
          </cell>
          <cell r="E5" t="str">
            <v>平田恵</v>
          </cell>
          <cell r="F5" t="str">
            <v>平田恵</v>
          </cell>
          <cell r="G5" t="str">
            <v/>
          </cell>
          <cell r="H5" t="str">
            <v/>
          </cell>
          <cell r="I5" t="str">
            <v>平田恵</v>
          </cell>
          <cell r="J5" t="str">
            <v>平田恵</v>
          </cell>
          <cell r="K5" t="str">
            <v>平田恵</v>
          </cell>
          <cell r="L5" t="str">
            <v>平田恵</v>
          </cell>
          <cell r="M5" t="str">
            <v>平田恵</v>
          </cell>
          <cell r="N5" t="str">
            <v/>
          </cell>
          <cell r="O5" t="str">
            <v/>
          </cell>
          <cell r="P5" t="str">
            <v>平田恵</v>
          </cell>
          <cell r="Q5" t="str">
            <v>平田恵</v>
          </cell>
          <cell r="R5" t="str">
            <v>長田</v>
          </cell>
          <cell r="S5" t="str">
            <v>中井</v>
          </cell>
          <cell r="T5" t="str">
            <v>平田恵</v>
          </cell>
          <cell r="U5" t="str">
            <v/>
          </cell>
          <cell r="V5" t="str">
            <v/>
          </cell>
          <cell r="W5" t="str">
            <v>平田恵</v>
          </cell>
          <cell r="X5" t="str">
            <v>平田恵</v>
          </cell>
          <cell r="Y5" t="str">
            <v>平田恵</v>
          </cell>
          <cell r="Z5" t="str">
            <v>平田恵</v>
          </cell>
          <cell r="AA5" t="str">
            <v>平田恵</v>
          </cell>
          <cell r="AB5" t="str">
            <v/>
          </cell>
          <cell r="AC5" t="str">
            <v/>
          </cell>
          <cell r="AD5" t="str">
            <v>平田恵</v>
          </cell>
          <cell r="AE5" t="str">
            <v>中井</v>
          </cell>
          <cell r="AF5" t="str">
            <v>北</v>
          </cell>
          <cell r="AG5" t="str">
            <v>長田</v>
          </cell>
          <cell r="AH5" t="str">
            <v>平田恵</v>
          </cell>
        </row>
        <row r="6">
          <cell r="D6" t="str">
            <v/>
          </cell>
          <cell r="E6" t="str">
            <v>長田</v>
          </cell>
          <cell r="F6" t="str">
            <v>中井</v>
          </cell>
          <cell r="G6" t="str">
            <v/>
          </cell>
          <cell r="H6" t="str">
            <v/>
          </cell>
          <cell r="I6" t="str">
            <v>長田</v>
          </cell>
          <cell r="J6" t="str">
            <v>長田</v>
          </cell>
          <cell r="K6" t="str">
            <v>長田</v>
          </cell>
          <cell r="L6" t="str">
            <v>長田</v>
          </cell>
          <cell r="M6" t="str">
            <v>長田</v>
          </cell>
          <cell r="N6" t="str">
            <v/>
          </cell>
          <cell r="O6" t="str">
            <v/>
          </cell>
          <cell r="P6" t="str">
            <v>長田</v>
          </cell>
          <cell r="Q6" t="str">
            <v>長田</v>
          </cell>
          <cell r="R6" t="str">
            <v>中井</v>
          </cell>
          <cell r="S6" t="str">
            <v>北</v>
          </cell>
          <cell r="T6" t="str">
            <v>中井</v>
          </cell>
          <cell r="U6" t="str">
            <v/>
          </cell>
          <cell r="V6" t="str">
            <v/>
          </cell>
          <cell r="W6" t="str">
            <v>長田</v>
          </cell>
          <cell r="X6" t="str">
            <v>長田</v>
          </cell>
          <cell r="Y6" t="str">
            <v>長田</v>
          </cell>
          <cell r="Z6" t="str">
            <v>長田</v>
          </cell>
          <cell r="AA6" t="str">
            <v>長田</v>
          </cell>
          <cell r="AB6" t="str">
            <v/>
          </cell>
          <cell r="AC6" t="str">
            <v/>
          </cell>
          <cell r="AD6" t="str">
            <v>中井</v>
          </cell>
          <cell r="AE6" t="str">
            <v>北</v>
          </cell>
          <cell r="AF6" t="str">
            <v>中村映</v>
          </cell>
          <cell r="AG6" t="str">
            <v>中井</v>
          </cell>
          <cell r="AH6" t="str">
            <v>長田</v>
          </cell>
        </row>
        <row r="7">
          <cell r="D7" t="str">
            <v/>
          </cell>
          <cell r="E7" t="str">
            <v>中井</v>
          </cell>
          <cell r="F7" t="str">
            <v>北</v>
          </cell>
          <cell r="G7" t="str">
            <v/>
          </cell>
          <cell r="H7" t="str">
            <v/>
          </cell>
          <cell r="I7" t="str">
            <v>中井</v>
          </cell>
          <cell r="J7" t="str">
            <v>中井</v>
          </cell>
          <cell r="K7" t="str">
            <v>中井</v>
          </cell>
          <cell r="L7" t="str">
            <v>中井</v>
          </cell>
          <cell r="M7" t="str">
            <v>中井</v>
          </cell>
          <cell r="N7" t="str">
            <v/>
          </cell>
          <cell r="O7" t="str">
            <v/>
          </cell>
          <cell r="P7" t="str">
            <v>中井</v>
          </cell>
          <cell r="Q7" t="str">
            <v>中井</v>
          </cell>
          <cell r="R7" t="str">
            <v>北</v>
          </cell>
          <cell r="S7" t="str">
            <v>中村映</v>
          </cell>
          <cell r="T7" t="str">
            <v>北</v>
          </cell>
          <cell r="U7" t="str">
            <v/>
          </cell>
          <cell r="V7" t="str">
            <v/>
          </cell>
          <cell r="W7" t="str">
            <v>中井</v>
          </cell>
          <cell r="X7" t="str">
            <v>中井</v>
          </cell>
          <cell r="Y7" t="str">
            <v>中井</v>
          </cell>
          <cell r="Z7" t="str">
            <v>中井</v>
          </cell>
          <cell r="AA7" t="str">
            <v>中井</v>
          </cell>
          <cell r="AB7" t="str">
            <v/>
          </cell>
          <cell r="AC7" t="str">
            <v/>
          </cell>
          <cell r="AD7" t="str">
            <v>北</v>
          </cell>
          <cell r="AE7" t="str">
            <v>中村映</v>
          </cell>
          <cell r="AF7" t="str">
            <v>平田真</v>
          </cell>
          <cell r="AG7" t="str">
            <v>北</v>
          </cell>
          <cell r="AH7" t="str">
            <v>中井</v>
          </cell>
        </row>
        <row r="8">
          <cell r="D8" t="str">
            <v/>
          </cell>
          <cell r="E8" t="str">
            <v>北</v>
          </cell>
          <cell r="F8" t="str">
            <v>中村映</v>
          </cell>
          <cell r="G8" t="str">
            <v/>
          </cell>
          <cell r="H8" t="str">
            <v/>
          </cell>
          <cell r="I8" t="str">
            <v>北</v>
          </cell>
          <cell r="J8" t="str">
            <v>北</v>
          </cell>
          <cell r="K8" t="str">
            <v>北</v>
          </cell>
          <cell r="L8" t="str">
            <v>北</v>
          </cell>
          <cell r="M8" t="str">
            <v>北</v>
          </cell>
          <cell r="N8" t="str">
            <v/>
          </cell>
          <cell r="O8" t="str">
            <v/>
          </cell>
          <cell r="P8" t="str">
            <v>北</v>
          </cell>
          <cell r="Q8" t="str">
            <v>北</v>
          </cell>
          <cell r="R8" t="str">
            <v>中村映</v>
          </cell>
          <cell r="S8" t="str">
            <v>平田真</v>
          </cell>
          <cell r="T8" t="str">
            <v>中村映</v>
          </cell>
          <cell r="U8" t="str">
            <v/>
          </cell>
          <cell r="V8" t="str">
            <v/>
          </cell>
          <cell r="W8" t="str">
            <v>北</v>
          </cell>
          <cell r="X8" t="str">
            <v>北</v>
          </cell>
          <cell r="Y8" t="str">
            <v>北</v>
          </cell>
          <cell r="Z8" t="str">
            <v>北</v>
          </cell>
          <cell r="AA8" t="str">
            <v>北</v>
          </cell>
          <cell r="AB8" t="str">
            <v/>
          </cell>
          <cell r="AC8" t="str">
            <v/>
          </cell>
          <cell r="AD8" t="str">
            <v>中村映</v>
          </cell>
          <cell r="AE8" t="str">
            <v>平田真</v>
          </cell>
          <cell r="AF8" t="str">
            <v>大橋</v>
          </cell>
          <cell r="AG8" t="str">
            <v>中村映</v>
          </cell>
          <cell r="AH8" t="str">
            <v>北</v>
          </cell>
        </row>
        <row r="9">
          <cell r="D9" t="str">
            <v/>
          </cell>
          <cell r="E9" t="str">
            <v>中村映</v>
          </cell>
          <cell r="F9" t="str">
            <v>平田真</v>
          </cell>
          <cell r="G9" t="str">
            <v/>
          </cell>
          <cell r="H9" t="str">
            <v/>
          </cell>
          <cell r="I9" t="str">
            <v>中村映</v>
          </cell>
          <cell r="J9" t="str">
            <v>中村映</v>
          </cell>
          <cell r="K9" t="str">
            <v>中村映</v>
          </cell>
          <cell r="L9" t="str">
            <v>中村映</v>
          </cell>
          <cell r="M9" t="str">
            <v>中村映</v>
          </cell>
          <cell r="N9" t="str">
            <v/>
          </cell>
          <cell r="O9" t="str">
            <v/>
          </cell>
          <cell r="P9" t="str">
            <v>中村映</v>
          </cell>
          <cell r="Q9" t="str">
            <v>中村映</v>
          </cell>
          <cell r="R9" t="str">
            <v>平田真</v>
          </cell>
          <cell r="S9" t="str">
            <v>大橋</v>
          </cell>
          <cell r="T9" t="str">
            <v>平田真</v>
          </cell>
          <cell r="U9" t="str">
            <v/>
          </cell>
          <cell r="V9" t="str">
            <v/>
          </cell>
          <cell r="W9" t="str">
            <v>中村映</v>
          </cell>
          <cell r="X9" t="str">
            <v>中村映</v>
          </cell>
          <cell r="Y9" t="str">
            <v>中村映</v>
          </cell>
          <cell r="Z9" t="str">
            <v>中村映</v>
          </cell>
          <cell r="AA9" t="str">
            <v>中村映</v>
          </cell>
          <cell r="AB9" t="str">
            <v/>
          </cell>
          <cell r="AC9" t="str">
            <v/>
          </cell>
          <cell r="AD9" t="str">
            <v>平田真</v>
          </cell>
          <cell r="AE9" t="str">
            <v>山本</v>
          </cell>
          <cell r="AF9" t="str">
            <v>山本</v>
          </cell>
          <cell r="AG9" t="str">
            <v>平田真</v>
          </cell>
          <cell r="AH9" t="str">
            <v>中村映</v>
          </cell>
        </row>
        <row r="10">
          <cell r="D10" t="str">
            <v/>
          </cell>
          <cell r="E10" t="str">
            <v>平田真</v>
          </cell>
          <cell r="F10" t="str">
            <v>大橋</v>
          </cell>
          <cell r="G10" t="str">
            <v/>
          </cell>
          <cell r="H10" t="str">
            <v/>
          </cell>
          <cell r="I10" t="str">
            <v>平田真</v>
          </cell>
          <cell r="J10" t="str">
            <v>平田真</v>
          </cell>
          <cell r="K10" t="str">
            <v>平田真</v>
          </cell>
          <cell r="L10" t="str">
            <v>平田真</v>
          </cell>
          <cell r="M10" t="str">
            <v>平田真</v>
          </cell>
          <cell r="N10" t="str">
            <v/>
          </cell>
          <cell r="O10" t="str">
            <v/>
          </cell>
          <cell r="P10" t="str">
            <v>平田真</v>
          </cell>
          <cell r="Q10" t="str">
            <v>平田真</v>
          </cell>
          <cell r="R10" t="str">
            <v>大橋</v>
          </cell>
          <cell r="S10" t="str">
            <v>南</v>
          </cell>
          <cell r="T10" t="str">
            <v>山本</v>
          </cell>
          <cell r="U10" t="str">
            <v/>
          </cell>
          <cell r="V10" t="str">
            <v/>
          </cell>
          <cell r="W10" t="str">
            <v>平田真</v>
          </cell>
          <cell r="X10" t="str">
            <v>平田真</v>
          </cell>
          <cell r="Y10" t="str">
            <v>平田真</v>
          </cell>
          <cell r="Z10" t="str">
            <v>平田真</v>
          </cell>
          <cell r="AA10" t="str">
            <v>平田真</v>
          </cell>
          <cell r="AB10" t="str">
            <v/>
          </cell>
          <cell r="AC10" t="str">
            <v/>
          </cell>
          <cell r="AD10" t="str">
            <v>山本</v>
          </cell>
          <cell r="AE10" t="str">
            <v>南</v>
          </cell>
          <cell r="AF10" t="str">
            <v>南</v>
          </cell>
          <cell r="AG10" t="str">
            <v>山本</v>
          </cell>
          <cell r="AH10" t="str">
            <v>平田真</v>
          </cell>
        </row>
        <row r="11">
          <cell r="D11" t="str">
            <v/>
          </cell>
          <cell r="E11" t="str">
            <v>山本</v>
          </cell>
          <cell r="F11" t="str">
            <v>山本</v>
          </cell>
          <cell r="G11" t="str">
            <v/>
          </cell>
          <cell r="H11" t="str">
            <v/>
          </cell>
          <cell r="I11" t="str">
            <v>山本</v>
          </cell>
          <cell r="J11" t="str">
            <v>大橋</v>
          </cell>
          <cell r="K11" t="str">
            <v>大橋</v>
          </cell>
          <cell r="L11" t="str">
            <v>大橋</v>
          </cell>
          <cell r="M11" t="str">
            <v>大橋</v>
          </cell>
          <cell r="N11" t="str">
            <v/>
          </cell>
          <cell r="O11" t="str">
            <v/>
          </cell>
          <cell r="P11" t="str">
            <v>大橋</v>
          </cell>
          <cell r="Q11" t="str">
            <v>大橋</v>
          </cell>
          <cell r="R11" t="str">
            <v>山本</v>
          </cell>
          <cell r="S11" t="str">
            <v>澤野</v>
          </cell>
          <cell r="T11" t="str">
            <v>南</v>
          </cell>
          <cell r="U11" t="str">
            <v/>
          </cell>
          <cell r="V11" t="str">
            <v/>
          </cell>
          <cell r="W11" t="str">
            <v>大橋</v>
          </cell>
          <cell r="X11" t="str">
            <v>大橋</v>
          </cell>
          <cell r="Y11" t="str">
            <v>大橋</v>
          </cell>
          <cell r="Z11" t="str">
            <v>南</v>
          </cell>
          <cell r="AA11" t="str">
            <v>大橋</v>
          </cell>
          <cell r="AB11" t="str">
            <v/>
          </cell>
          <cell r="AC11" t="str">
            <v/>
          </cell>
          <cell r="AD11" t="str">
            <v>南</v>
          </cell>
          <cell r="AE11" t="str">
            <v>澤野</v>
          </cell>
          <cell r="AF11" t="str">
            <v>澤野</v>
          </cell>
          <cell r="AG11" t="str">
            <v>南</v>
          </cell>
          <cell r="AH11" t="str">
            <v>大橋</v>
          </cell>
        </row>
        <row r="12">
          <cell r="D12" t="str">
            <v/>
          </cell>
          <cell r="E12" t="str">
            <v>南</v>
          </cell>
          <cell r="F12" t="str">
            <v>南</v>
          </cell>
          <cell r="G12" t="str">
            <v/>
          </cell>
          <cell r="H12" t="str">
            <v/>
          </cell>
          <cell r="I12" t="str">
            <v>澤野</v>
          </cell>
          <cell r="J12" t="str">
            <v>澤野</v>
          </cell>
          <cell r="K12" t="str">
            <v>南</v>
          </cell>
          <cell r="L12" t="str">
            <v>山本</v>
          </cell>
          <cell r="M12" t="str">
            <v>山本</v>
          </cell>
          <cell r="N12" t="str">
            <v/>
          </cell>
          <cell r="O12" t="str">
            <v/>
          </cell>
          <cell r="P12" t="str">
            <v>山本</v>
          </cell>
          <cell r="Q12" t="str">
            <v>山本</v>
          </cell>
          <cell r="R12" t="str">
            <v>南</v>
          </cell>
          <cell r="S12" t="str">
            <v>清水</v>
          </cell>
          <cell r="T12" t="str">
            <v>澤野</v>
          </cell>
          <cell r="U12" t="str">
            <v/>
          </cell>
          <cell r="V12" t="str">
            <v/>
          </cell>
          <cell r="W12" t="str">
            <v>山本</v>
          </cell>
          <cell r="X12" t="str">
            <v>山本</v>
          </cell>
          <cell r="Y12" t="str">
            <v>山本</v>
          </cell>
          <cell r="Z12" t="str">
            <v>澤野</v>
          </cell>
          <cell r="AA12" t="str">
            <v>南</v>
          </cell>
          <cell r="AB12" t="str">
            <v/>
          </cell>
          <cell r="AC12" t="str">
            <v/>
          </cell>
          <cell r="AD12" t="str">
            <v>澤野</v>
          </cell>
          <cell r="AE12" t="str">
            <v>清水</v>
          </cell>
          <cell r="AF12" t="str">
            <v>清水</v>
          </cell>
          <cell r="AG12" t="str">
            <v>澤野</v>
          </cell>
          <cell r="AH12" t="str">
            <v>山本</v>
          </cell>
        </row>
        <row r="13">
          <cell r="D13" t="str">
            <v/>
          </cell>
          <cell r="E13" t="str">
            <v>澤野</v>
          </cell>
          <cell r="F13" t="str">
            <v>澤野</v>
          </cell>
          <cell r="G13" t="str">
            <v/>
          </cell>
          <cell r="H13" t="str">
            <v/>
          </cell>
          <cell r="I13" t="str">
            <v>清水</v>
          </cell>
          <cell r="J13" t="str">
            <v>清水</v>
          </cell>
          <cell r="K13" t="str">
            <v>澤野</v>
          </cell>
          <cell r="L13" t="str">
            <v>南</v>
          </cell>
          <cell r="M13" t="str">
            <v>南</v>
          </cell>
          <cell r="N13" t="str">
            <v/>
          </cell>
          <cell r="O13" t="str">
            <v/>
          </cell>
          <cell r="P13" t="str">
            <v>南</v>
          </cell>
          <cell r="Q13" t="str">
            <v>南</v>
          </cell>
          <cell r="R13" t="str">
            <v>澤野</v>
          </cell>
          <cell r="S13" t="str">
            <v>坪野</v>
          </cell>
          <cell r="T13" t="str">
            <v>清水</v>
          </cell>
          <cell r="U13" t="str">
            <v/>
          </cell>
          <cell r="V13" t="str">
            <v/>
          </cell>
          <cell r="W13" t="str">
            <v>澤野</v>
          </cell>
          <cell r="X13" t="str">
            <v>坪野</v>
          </cell>
          <cell r="Y13" t="str">
            <v>南</v>
          </cell>
          <cell r="Z13" t="str">
            <v>清水</v>
          </cell>
          <cell r="AA13" t="str">
            <v>澤野</v>
          </cell>
          <cell r="AB13" t="str">
            <v/>
          </cell>
          <cell r="AC13" t="str">
            <v/>
          </cell>
          <cell r="AD13" t="str">
            <v>坪野</v>
          </cell>
          <cell r="AE13" t="str">
            <v>坪野</v>
          </cell>
          <cell r="AF13" t="str">
            <v>坪野</v>
          </cell>
          <cell r="AG13" t="str">
            <v>清水</v>
          </cell>
          <cell r="AH13" t="str">
            <v>南</v>
          </cell>
        </row>
        <row r="14">
          <cell r="D14" t="str">
            <v/>
          </cell>
          <cell r="E14" t="str">
            <v>坪野</v>
          </cell>
          <cell r="F14" t="str">
            <v>坪野</v>
          </cell>
          <cell r="G14" t="str">
            <v/>
          </cell>
          <cell r="H14" t="str">
            <v/>
          </cell>
          <cell r="I14" t="str">
            <v>坪野</v>
          </cell>
          <cell r="J14" t="str">
            <v>坪野</v>
          </cell>
          <cell r="K14" t="str">
            <v>清水</v>
          </cell>
          <cell r="L14" t="str">
            <v>澤野</v>
          </cell>
          <cell r="M14" t="str">
            <v>坪野</v>
          </cell>
          <cell r="N14" t="str">
            <v/>
          </cell>
          <cell r="O14" t="str">
            <v/>
          </cell>
          <cell r="P14" t="str">
            <v>清水</v>
          </cell>
          <cell r="Q14" t="str">
            <v>澤野</v>
          </cell>
          <cell r="R14" t="str">
            <v>清水</v>
          </cell>
          <cell r="S14" t="str">
            <v>山田</v>
          </cell>
          <cell r="T14" t="str">
            <v>坪野</v>
          </cell>
          <cell r="U14" t="str">
            <v/>
          </cell>
          <cell r="V14" t="str">
            <v/>
          </cell>
          <cell r="W14" t="str">
            <v>坪野</v>
          </cell>
          <cell r="X14" t="str">
            <v>山田</v>
          </cell>
          <cell r="Y14" t="str">
            <v>清水</v>
          </cell>
          <cell r="Z14" t="str">
            <v>坪野</v>
          </cell>
          <cell r="AA14" t="str">
            <v>清水</v>
          </cell>
          <cell r="AB14" t="str">
            <v/>
          </cell>
          <cell r="AC14" t="str">
            <v/>
          </cell>
          <cell r="AD14" t="str">
            <v>山田</v>
          </cell>
          <cell r="AE14" t="str">
            <v>山田</v>
          </cell>
          <cell r="AF14" t="str">
            <v>山田</v>
          </cell>
          <cell r="AG14" t="str">
            <v>坪野</v>
          </cell>
          <cell r="AH14" t="str">
            <v>澤野</v>
          </cell>
        </row>
        <row r="15">
          <cell r="D15" t="str">
            <v/>
          </cell>
          <cell r="E15" t="str">
            <v>冨田</v>
          </cell>
          <cell r="F15" t="str">
            <v>山田</v>
          </cell>
          <cell r="G15" t="str">
            <v/>
          </cell>
          <cell r="H15" t="str">
            <v/>
          </cell>
          <cell r="I15" t="str">
            <v>山田</v>
          </cell>
          <cell r="J15" t="str">
            <v>山田</v>
          </cell>
          <cell r="K15" t="str">
            <v>坪野</v>
          </cell>
          <cell r="L15" t="str">
            <v>坪野</v>
          </cell>
          <cell r="M15" t="str">
            <v>山田</v>
          </cell>
          <cell r="N15" t="str">
            <v/>
          </cell>
          <cell r="O15" t="str">
            <v/>
          </cell>
          <cell r="P15" t="str">
            <v>坪野</v>
          </cell>
          <cell r="Q15" t="str">
            <v>清水</v>
          </cell>
          <cell r="R15" t="str">
            <v>坪野</v>
          </cell>
          <cell r="S15" t="str">
            <v>冨田</v>
          </cell>
          <cell r="T15" t="str">
            <v>山田</v>
          </cell>
          <cell r="U15" t="str">
            <v/>
          </cell>
          <cell r="V15" t="str">
            <v/>
          </cell>
          <cell r="W15" t="str">
            <v>山田</v>
          </cell>
          <cell r="X15" t="str">
            <v>冨田</v>
          </cell>
          <cell r="Y15" t="str">
            <v>坪野</v>
          </cell>
          <cell r="Z15" t="str">
            <v>山田</v>
          </cell>
          <cell r="AA15" t="str">
            <v>坪野</v>
          </cell>
          <cell r="AB15" t="str">
            <v/>
          </cell>
          <cell r="AC15" t="str">
            <v/>
          </cell>
          <cell r="AD15" t="str">
            <v>冨田</v>
          </cell>
          <cell r="AE15" t="str">
            <v>冨田</v>
          </cell>
          <cell r="AF15" t="str">
            <v>冨田</v>
          </cell>
          <cell r="AG15" t="str">
            <v>冨田</v>
          </cell>
          <cell r="AH15" t="str">
            <v>清水</v>
          </cell>
        </row>
        <row r="16">
          <cell r="D16" t="str">
            <v/>
          </cell>
          <cell r="E16" t="str">
            <v>長迫</v>
          </cell>
          <cell r="F16" t="str">
            <v>冨田</v>
          </cell>
          <cell r="G16" t="str">
            <v/>
          </cell>
          <cell r="H16" t="str">
            <v/>
          </cell>
          <cell r="I16" t="str">
            <v>冨田</v>
          </cell>
          <cell r="J16" t="str">
            <v>冨田</v>
          </cell>
          <cell r="K16" t="str">
            <v>山田</v>
          </cell>
          <cell r="L16" t="str">
            <v>山田</v>
          </cell>
          <cell r="M16" t="str">
            <v>冨田</v>
          </cell>
          <cell r="N16" t="str">
            <v/>
          </cell>
          <cell r="O16" t="str">
            <v/>
          </cell>
          <cell r="P16" t="str">
            <v>山田</v>
          </cell>
          <cell r="Q16" t="str">
            <v>坪野</v>
          </cell>
          <cell r="R16" t="str">
            <v>冨田</v>
          </cell>
          <cell r="S16" t="str">
            <v>長迫</v>
          </cell>
          <cell r="T16" t="str">
            <v>冨田</v>
          </cell>
          <cell r="U16" t="str">
            <v/>
          </cell>
          <cell r="V16" t="str">
            <v/>
          </cell>
          <cell r="W16" t="str">
            <v>冨田</v>
          </cell>
          <cell r="X16" t="str">
            <v>長迫</v>
          </cell>
          <cell r="Y16" t="str">
            <v>山田</v>
          </cell>
          <cell r="Z16" t="str">
            <v>冨田</v>
          </cell>
          <cell r="AA16" t="str">
            <v>冨田</v>
          </cell>
          <cell r="AB16" t="str">
            <v/>
          </cell>
          <cell r="AC16" t="str">
            <v/>
          </cell>
          <cell r="AD16" t="str">
            <v>長迫</v>
          </cell>
          <cell r="AE16" t="str">
            <v>長迫</v>
          </cell>
          <cell r="AF16" t="str">
            <v>長迫</v>
          </cell>
          <cell r="AG16" t="str">
            <v>長迫</v>
          </cell>
          <cell r="AH16" t="str">
            <v>坪野</v>
          </cell>
        </row>
        <row r="17">
          <cell r="D17" t="str">
            <v/>
          </cell>
          <cell r="E17" t="str">
            <v>林</v>
          </cell>
          <cell r="F17" t="str">
            <v>長迫</v>
          </cell>
          <cell r="G17" t="str">
            <v/>
          </cell>
          <cell r="H17" t="str">
            <v/>
          </cell>
          <cell r="I17" t="str">
            <v>長迫</v>
          </cell>
          <cell r="J17" t="str">
            <v>長迫</v>
          </cell>
          <cell r="K17" t="str">
            <v>冨田</v>
          </cell>
          <cell r="L17" t="str">
            <v>冨田</v>
          </cell>
          <cell r="M17" t="str">
            <v>長迫</v>
          </cell>
          <cell r="N17" t="str">
            <v/>
          </cell>
          <cell r="O17" t="str">
            <v/>
          </cell>
          <cell r="P17" t="str">
            <v>冨田</v>
          </cell>
          <cell r="Q17" t="str">
            <v>冨田</v>
          </cell>
          <cell r="R17" t="str">
            <v>長迫</v>
          </cell>
          <cell r="S17" t="str">
            <v>吉田</v>
          </cell>
          <cell r="T17" t="str">
            <v>長迫</v>
          </cell>
          <cell r="U17" t="str">
            <v/>
          </cell>
          <cell r="V17" t="str">
            <v/>
          </cell>
          <cell r="W17" t="str">
            <v>長迫</v>
          </cell>
          <cell r="X17" t="str">
            <v>林</v>
          </cell>
          <cell r="Y17" t="str">
            <v>冨田</v>
          </cell>
          <cell r="Z17" t="str">
            <v>長迫</v>
          </cell>
          <cell r="AA17" t="str">
            <v>長迫</v>
          </cell>
          <cell r="AB17" t="str">
            <v/>
          </cell>
          <cell r="AC17" t="str">
            <v/>
          </cell>
          <cell r="AD17" t="str">
            <v>林</v>
          </cell>
          <cell r="AE17" t="str">
            <v>林</v>
          </cell>
          <cell r="AF17" t="str">
            <v>林</v>
          </cell>
          <cell r="AG17" t="str">
            <v>吉田</v>
          </cell>
          <cell r="AH17" t="str">
            <v>山田</v>
          </cell>
        </row>
        <row r="18">
          <cell r="D18" t="str">
            <v/>
          </cell>
          <cell r="E18" t="str">
            <v>吉田</v>
          </cell>
          <cell r="F18" t="str">
            <v>林</v>
          </cell>
          <cell r="G18" t="str">
            <v/>
          </cell>
          <cell r="H18" t="str">
            <v/>
          </cell>
          <cell r="I18" t="str">
            <v>林</v>
          </cell>
          <cell r="J18" t="str">
            <v>林</v>
          </cell>
          <cell r="K18" t="str">
            <v>長迫</v>
          </cell>
          <cell r="L18" t="str">
            <v>長迫</v>
          </cell>
          <cell r="M18" t="str">
            <v>吉田</v>
          </cell>
          <cell r="N18" t="str">
            <v/>
          </cell>
          <cell r="O18" t="str">
            <v/>
          </cell>
          <cell r="P18" t="str">
            <v>長迫</v>
          </cell>
          <cell r="Q18" t="str">
            <v>長迫</v>
          </cell>
          <cell r="R18" t="str">
            <v>林</v>
          </cell>
          <cell r="S18" t="str">
            <v>田村</v>
          </cell>
          <cell r="T18" t="str">
            <v>林</v>
          </cell>
          <cell r="U18" t="str">
            <v/>
          </cell>
          <cell r="V18" t="str">
            <v/>
          </cell>
          <cell r="W18" t="str">
            <v>林</v>
          </cell>
          <cell r="X18" t="str">
            <v>吉田</v>
          </cell>
          <cell r="Y18" t="str">
            <v>長迫</v>
          </cell>
          <cell r="Z18" t="str">
            <v>林</v>
          </cell>
          <cell r="AA18" t="str">
            <v>林</v>
          </cell>
          <cell r="AB18" t="str">
            <v/>
          </cell>
          <cell r="AC18" t="str">
            <v/>
          </cell>
          <cell r="AD18" t="str">
            <v>吉田</v>
          </cell>
          <cell r="AE18" t="str">
            <v>吉田</v>
          </cell>
          <cell r="AF18" t="str">
            <v>吉田</v>
          </cell>
          <cell r="AG18" t="str">
            <v>田村</v>
          </cell>
          <cell r="AH18" t="str">
            <v>冨田</v>
          </cell>
        </row>
        <row r="19">
          <cell r="D19" t="str">
            <v/>
          </cell>
          <cell r="E19" t="str">
            <v>田村</v>
          </cell>
          <cell r="F19" t="str">
            <v>吉田</v>
          </cell>
          <cell r="G19" t="str">
            <v/>
          </cell>
          <cell r="H19" t="str">
            <v/>
          </cell>
          <cell r="I19" t="str">
            <v>吉田</v>
          </cell>
          <cell r="J19" t="str">
            <v>吉田</v>
          </cell>
          <cell r="K19" t="str">
            <v>林</v>
          </cell>
          <cell r="L19" t="str">
            <v>林</v>
          </cell>
          <cell r="M19" t="str">
            <v>田村</v>
          </cell>
          <cell r="N19" t="str">
            <v/>
          </cell>
          <cell r="O19" t="str">
            <v/>
          </cell>
          <cell r="P19" t="str">
            <v>林</v>
          </cell>
          <cell r="Q19" t="str">
            <v>林</v>
          </cell>
          <cell r="R19" t="str">
            <v>吉田</v>
          </cell>
          <cell r="S19" t="str">
            <v>齊藤</v>
          </cell>
          <cell r="T19" t="str">
            <v>吉田</v>
          </cell>
          <cell r="U19" t="str">
            <v/>
          </cell>
          <cell r="V19" t="str">
            <v/>
          </cell>
          <cell r="W19" t="str">
            <v>吉田</v>
          </cell>
          <cell r="X19" t="str">
            <v>田村</v>
          </cell>
          <cell r="Y19" t="str">
            <v>林</v>
          </cell>
          <cell r="Z19" t="str">
            <v>吉田</v>
          </cell>
          <cell r="AA19" t="str">
            <v>齊藤</v>
          </cell>
          <cell r="AB19" t="str">
            <v/>
          </cell>
          <cell r="AC19" t="str">
            <v/>
          </cell>
          <cell r="AD19" t="str">
            <v>田村</v>
          </cell>
          <cell r="AE19" t="str">
            <v>齊藤</v>
          </cell>
          <cell r="AF19" t="str">
            <v>齊藤</v>
          </cell>
          <cell r="AG19" t="str">
            <v>庵</v>
          </cell>
          <cell r="AH19" t="str">
            <v>黒田</v>
          </cell>
        </row>
        <row r="20">
          <cell r="D20" t="str">
            <v/>
          </cell>
          <cell r="E20" t="str">
            <v>齊藤</v>
          </cell>
          <cell r="F20" t="str">
            <v>田村</v>
          </cell>
          <cell r="G20" t="str">
            <v/>
          </cell>
          <cell r="H20" t="str">
            <v/>
          </cell>
          <cell r="I20" t="str">
            <v>田村</v>
          </cell>
          <cell r="J20" t="str">
            <v>齊藤</v>
          </cell>
          <cell r="K20" t="str">
            <v>吉田</v>
          </cell>
          <cell r="L20" t="str">
            <v>吉田</v>
          </cell>
          <cell r="M20" t="str">
            <v>齊藤</v>
          </cell>
          <cell r="N20" t="str">
            <v/>
          </cell>
          <cell r="O20" t="str">
            <v/>
          </cell>
          <cell r="P20" t="str">
            <v>吉田</v>
          </cell>
          <cell r="Q20" t="str">
            <v>吉田</v>
          </cell>
          <cell r="R20" t="str">
            <v>田村</v>
          </cell>
          <cell r="S20" t="str">
            <v>庵</v>
          </cell>
          <cell r="T20" t="str">
            <v>田村</v>
          </cell>
          <cell r="U20" t="str">
            <v/>
          </cell>
          <cell r="V20" t="str">
            <v/>
          </cell>
          <cell r="W20" t="str">
            <v>田村</v>
          </cell>
          <cell r="X20" t="str">
            <v>齊藤</v>
          </cell>
          <cell r="Y20" t="str">
            <v>吉田</v>
          </cell>
          <cell r="Z20" t="str">
            <v>齊藤</v>
          </cell>
          <cell r="AA20" t="str">
            <v>庵</v>
          </cell>
          <cell r="AB20" t="str">
            <v/>
          </cell>
          <cell r="AC20" t="str">
            <v/>
          </cell>
          <cell r="AD20" t="str">
            <v>齊藤</v>
          </cell>
          <cell r="AE20" t="str">
            <v>佐藤恵</v>
          </cell>
          <cell r="AF20" t="str">
            <v>庵</v>
          </cell>
          <cell r="AG20" t="str">
            <v>佐藤恵</v>
          </cell>
          <cell r="AH20" t="str">
            <v>長迫</v>
          </cell>
        </row>
        <row r="21">
          <cell r="D21" t="str">
            <v/>
          </cell>
          <cell r="E21" t="str">
            <v>庵</v>
          </cell>
          <cell r="F21" t="str">
            <v>齊藤</v>
          </cell>
          <cell r="G21" t="str">
            <v/>
          </cell>
          <cell r="H21" t="str">
            <v/>
          </cell>
          <cell r="I21" t="str">
            <v>齊藤</v>
          </cell>
          <cell r="J21" t="str">
            <v>庵</v>
          </cell>
          <cell r="K21" t="str">
            <v>佐藤恵</v>
          </cell>
          <cell r="L21" t="str">
            <v>田村</v>
          </cell>
          <cell r="M21" t="str">
            <v>加藤</v>
          </cell>
          <cell r="N21" t="str">
            <v/>
          </cell>
          <cell r="O21" t="str">
            <v/>
          </cell>
          <cell r="P21" t="str">
            <v>田村</v>
          </cell>
          <cell r="Q21" t="str">
            <v>田村</v>
          </cell>
          <cell r="R21" t="str">
            <v>齊藤</v>
          </cell>
          <cell r="S21" t="str">
            <v>佐藤恵</v>
          </cell>
          <cell r="T21" t="str">
            <v>齊藤</v>
          </cell>
          <cell r="U21" t="str">
            <v/>
          </cell>
          <cell r="V21" t="str">
            <v/>
          </cell>
          <cell r="W21" t="str">
            <v>齊藤</v>
          </cell>
          <cell r="X21" t="str">
            <v>庵</v>
          </cell>
          <cell r="Y21" t="str">
            <v>田村</v>
          </cell>
          <cell r="Z21" t="str">
            <v>佐藤恵</v>
          </cell>
          <cell r="AA21" t="str">
            <v>佐藤恵</v>
          </cell>
          <cell r="AB21" t="str">
            <v/>
          </cell>
          <cell r="AC21" t="str">
            <v/>
          </cell>
          <cell r="AD21" t="str">
            <v>佐藤恵</v>
          </cell>
          <cell r="AE21" t="str">
            <v>加藤</v>
          </cell>
          <cell r="AF21" t="str">
            <v>佐藤恵</v>
          </cell>
          <cell r="AG21" t="str">
            <v>加藤</v>
          </cell>
          <cell r="AH21" t="str">
            <v>林</v>
          </cell>
        </row>
        <row r="22">
          <cell r="D22" t="str">
            <v/>
          </cell>
          <cell r="E22" t="str">
            <v>佐藤恵</v>
          </cell>
          <cell r="F22" t="str">
            <v>庵</v>
          </cell>
          <cell r="G22" t="str">
            <v/>
          </cell>
          <cell r="H22" t="str">
            <v/>
          </cell>
          <cell r="I22" t="str">
            <v>庵</v>
          </cell>
          <cell r="J22" t="str">
            <v>本田</v>
          </cell>
          <cell r="K22" t="str">
            <v>加藤</v>
          </cell>
          <cell r="L22" t="str">
            <v>佐藤恵</v>
          </cell>
          <cell r="M22" t="str">
            <v>本田</v>
          </cell>
          <cell r="N22" t="str">
            <v/>
          </cell>
          <cell r="O22" t="str">
            <v/>
          </cell>
          <cell r="P22" t="str">
            <v>齊藤</v>
          </cell>
          <cell r="Q22" t="str">
            <v>齊藤</v>
          </cell>
          <cell r="R22" t="str">
            <v>庵</v>
          </cell>
          <cell r="S22" t="str">
            <v>加藤</v>
          </cell>
          <cell r="T22" t="str">
            <v>庵</v>
          </cell>
          <cell r="U22" t="str">
            <v/>
          </cell>
          <cell r="V22" t="str">
            <v/>
          </cell>
          <cell r="W22" t="str">
            <v>庵</v>
          </cell>
          <cell r="X22" t="str">
            <v>佐藤恵</v>
          </cell>
          <cell r="Y22" t="str">
            <v>齊藤</v>
          </cell>
          <cell r="Z22" t="str">
            <v>加藤</v>
          </cell>
          <cell r="AA22" t="str">
            <v>加藤</v>
          </cell>
          <cell r="AB22" t="str">
            <v/>
          </cell>
          <cell r="AC22" t="str">
            <v/>
          </cell>
          <cell r="AD22" t="str">
            <v>加藤</v>
          </cell>
          <cell r="AE22" t="str">
            <v>本田</v>
          </cell>
          <cell r="AF22" t="str">
            <v>加藤</v>
          </cell>
          <cell r="AG22" t="str">
            <v>本田</v>
          </cell>
          <cell r="AH22" t="str">
            <v>吉田</v>
          </cell>
        </row>
        <row r="23">
          <cell r="D23" t="str">
            <v/>
          </cell>
          <cell r="E23" t="str">
            <v>加藤</v>
          </cell>
          <cell r="F23" t="str">
            <v>佐藤恵</v>
          </cell>
          <cell r="G23" t="str">
            <v/>
          </cell>
          <cell r="H23" t="str">
            <v/>
          </cell>
          <cell r="I23" t="str">
            <v>本田</v>
          </cell>
          <cell r="J23" t="str">
            <v>佐藤穂</v>
          </cell>
          <cell r="K23" t="str">
            <v>本田</v>
          </cell>
          <cell r="L23" t="str">
            <v>加藤</v>
          </cell>
          <cell r="M23" t="str">
            <v>佐藤穂</v>
          </cell>
          <cell r="N23" t="str">
            <v/>
          </cell>
          <cell r="O23" t="str">
            <v/>
          </cell>
          <cell r="P23" t="str">
            <v>庵</v>
          </cell>
          <cell r="Q23" t="str">
            <v>庵</v>
          </cell>
          <cell r="R23" t="str">
            <v>佐藤恵</v>
          </cell>
          <cell r="S23" t="str">
            <v>本田</v>
          </cell>
          <cell r="T23" t="str">
            <v>加藤</v>
          </cell>
          <cell r="U23" t="str">
            <v/>
          </cell>
          <cell r="V23" t="str">
            <v/>
          </cell>
          <cell r="W23" t="str">
            <v>本田</v>
          </cell>
          <cell r="X23" t="str">
            <v>本田</v>
          </cell>
          <cell r="Y23" t="str">
            <v>佐藤恵</v>
          </cell>
          <cell r="Z23" t="str">
            <v>佐藤穂</v>
          </cell>
          <cell r="AA23" t="str">
            <v>本田</v>
          </cell>
          <cell r="AB23" t="str">
            <v/>
          </cell>
          <cell r="AC23" t="str">
            <v/>
          </cell>
          <cell r="AD23" t="str">
            <v>本田</v>
          </cell>
          <cell r="AE23" t="str">
            <v>佐藤穂</v>
          </cell>
          <cell r="AF23" t="str">
            <v>本田</v>
          </cell>
          <cell r="AG23" t="str">
            <v>佐藤穂</v>
          </cell>
          <cell r="AH23" t="str">
            <v>田村</v>
          </cell>
        </row>
        <row r="24">
          <cell r="D24" t="str">
            <v/>
          </cell>
          <cell r="E24" t="str">
            <v>本田</v>
          </cell>
          <cell r="F24" t="str">
            <v>加藤</v>
          </cell>
          <cell r="G24" t="str">
            <v/>
          </cell>
          <cell r="H24" t="str">
            <v/>
          </cell>
          <cell r="I24" t="str">
            <v>佐藤穂</v>
          </cell>
          <cell r="J24" t="str">
            <v>薬司</v>
          </cell>
          <cell r="K24" t="str">
            <v>佐藤穂</v>
          </cell>
          <cell r="L24" t="str">
            <v>本田</v>
          </cell>
          <cell r="M24" t="str">
            <v>薬司</v>
          </cell>
          <cell r="N24" t="str">
            <v/>
          </cell>
          <cell r="O24" t="str">
            <v/>
          </cell>
          <cell r="P24" t="str">
            <v>本田</v>
          </cell>
          <cell r="Q24" t="str">
            <v>佐藤穂</v>
          </cell>
          <cell r="R24" t="str">
            <v>加藤</v>
          </cell>
          <cell r="S24" t="str">
            <v>佐藤穂</v>
          </cell>
          <cell r="T24" t="str">
            <v>本田</v>
          </cell>
          <cell r="U24" t="str">
            <v/>
          </cell>
          <cell r="V24" t="str">
            <v/>
          </cell>
          <cell r="W24" t="str">
            <v>薬司</v>
          </cell>
          <cell r="X24" t="str">
            <v>佐藤穂</v>
          </cell>
          <cell r="Y24" t="str">
            <v>加藤</v>
          </cell>
          <cell r="Z24" t="str">
            <v>薬司</v>
          </cell>
          <cell r="AA24" t="str">
            <v>佐藤穂</v>
          </cell>
          <cell r="AB24" t="str">
            <v/>
          </cell>
          <cell r="AC24" t="str">
            <v/>
          </cell>
          <cell r="AD24" t="str">
            <v>佐藤穂</v>
          </cell>
          <cell r="AE24" t="str">
            <v>薬司</v>
          </cell>
          <cell r="AF24" t="str">
            <v>佐藤穂</v>
          </cell>
          <cell r="AG24" t="str">
            <v>薬司</v>
          </cell>
          <cell r="AH24" t="str">
            <v>齊藤</v>
          </cell>
        </row>
        <row r="25">
          <cell r="D25" t="str">
            <v/>
          </cell>
          <cell r="E25" t="str">
            <v>薬司</v>
          </cell>
          <cell r="F25" t="str">
            <v>本田</v>
          </cell>
          <cell r="G25" t="str">
            <v/>
          </cell>
          <cell r="H25" t="str">
            <v/>
          </cell>
          <cell r="I25" t="str">
            <v>龍野</v>
          </cell>
          <cell r="J25" t="str">
            <v>龍野</v>
          </cell>
          <cell r="K25" t="str">
            <v>薬司</v>
          </cell>
          <cell r="L25" t="str">
            <v>佐藤穂</v>
          </cell>
          <cell r="M25" t="str">
            <v>龍野</v>
          </cell>
          <cell r="N25" t="str">
            <v/>
          </cell>
          <cell r="O25" t="str">
            <v/>
          </cell>
          <cell r="P25" t="str">
            <v>佐藤穂</v>
          </cell>
          <cell r="Q25" t="str">
            <v>薬司</v>
          </cell>
          <cell r="R25" t="str">
            <v>佐藤穂</v>
          </cell>
          <cell r="S25" t="str">
            <v>龍野</v>
          </cell>
          <cell r="T25" t="str">
            <v>佐藤穂</v>
          </cell>
          <cell r="U25" t="str">
            <v/>
          </cell>
          <cell r="V25" t="str">
            <v/>
          </cell>
          <cell r="W25" t="str">
            <v>龍野</v>
          </cell>
          <cell r="X25" t="str">
            <v>薬司</v>
          </cell>
          <cell r="Y25" t="str">
            <v>佐藤穂</v>
          </cell>
          <cell r="Z25" t="str">
            <v>西郡</v>
          </cell>
          <cell r="AA25" t="str">
            <v>薬司</v>
          </cell>
          <cell r="AB25" t="str">
            <v/>
          </cell>
          <cell r="AC25" t="str">
            <v/>
          </cell>
          <cell r="AD25" t="str">
            <v>薬司</v>
          </cell>
          <cell r="AE25" t="str">
            <v>龍野</v>
          </cell>
          <cell r="AF25" t="str">
            <v>薬司</v>
          </cell>
          <cell r="AG25" t="str">
            <v>龍野</v>
          </cell>
          <cell r="AH25" t="str">
            <v>庵</v>
          </cell>
        </row>
        <row r="26">
          <cell r="D26" t="str">
            <v/>
          </cell>
          <cell r="E26" t="str">
            <v>龍野</v>
          </cell>
          <cell r="F26" t="str">
            <v>薬司</v>
          </cell>
          <cell r="G26" t="str">
            <v/>
          </cell>
          <cell r="H26" t="str">
            <v/>
          </cell>
          <cell r="I26" t="str">
            <v>西郡</v>
          </cell>
          <cell r="J26" t="str">
            <v>西郡</v>
          </cell>
          <cell r="K26" t="str">
            <v>龍野</v>
          </cell>
          <cell r="L26" t="str">
            <v>薬司</v>
          </cell>
          <cell r="M26" t="str">
            <v>西郡</v>
          </cell>
          <cell r="N26" t="str">
            <v/>
          </cell>
          <cell r="O26" t="str">
            <v/>
          </cell>
          <cell r="P26" t="str">
            <v>薬司</v>
          </cell>
          <cell r="Q26" t="str">
            <v>龍野</v>
          </cell>
          <cell r="R26" t="str">
            <v>薬司</v>
          </cell>
          <cell r="S26" t="str">
            <v>松木</v>
          </cell>
          <cell r="T26" t="str">
            <v>松木</v>
          </cell>
          <cell r="U26" t="str">
            <v/>
          </cell>
          <cell r="V26" t="str">
            <v/>
          </cell>
          <cell r="W26" t="str">
            <v>西郡</v>
          </cell>
          <cell r="X26" t="str">
            <v>龍野</v>
          </cell>
          <cell r="Y26" t="str">
            <v>薬司</v>
          </cell>
          <cell r="Z26" t="str">
            <v>松木</v>
          </cell>
          <cell r="AA26" t="str">
            <v>龍野</v>
          </cell>
          <cell r="AB26" t="str">
            <v/>
          </cell>
          <cell r="AC26" t="str">
            <v/>
          </cell>
          <cell r="AD26" t="str">
            <v>西郡</v>
          </cell>
          <cell r="AE26" t="str">
            <v>西郡</v>
          </cell>
          <cell r="AF26" t="str">
            <v>龍野</v>
          </cell>
          <cell r="AG26" t="str">
            <v>西郡</v>
          </cell>
          <cell r="AH26" t="str">
            <v>佐藤恵</v>
          </cell>
        </row>
        <row r="27">
          <cell r="D27" t="str">
            <v/>
          </cell>
          <cell r="E27" t="str">
            <v>西郡</v>
          </cell>
          <cell r="F27" t="str">
            <v>龍野</v>
          </cell>
          <cell r="G27" t="str">
            <v/>
          </cell>
          <cell r="H27" t="str">
            <v/>
          </cell>
          <cell r="I27" t="str">
            <v>松木</v>
          </cell>
          <cell r="J27" t="str">
            <v>松木</v>
          </cell>
          <cell r="K27" t="str">
            <v>西郡</v>
          </cell>
          <cell r="L27" t="str">
            <v>龍野</v>
          </cell>
          <cell r="M27" t="str">
            <v>松木</v>
          </cell>
          <cell r="N27" t="str">
            <v/>
          </cell>
          <cell r="O27" t="str">
            <v/>
          </cell>
          <cell r="P27" t="str">
            <v>龍野</v>
          </cell>
          <cell r="Q27" t="str">
            <v>西郡</v>
          </cell>
          <cell r="R27" t="str">
            <v>龍野</v>
          </cell>
          <cell r="S27" t="str">
            <v>諸田</v>
          </cell>
          <cell r="T27" t="str">
            <v>諸田</v>
          </cell>
          <cell r="U27" t="str">
            <v/>
          </cell>
          <cell r="V27" t="str">
            <v/>
          </cell>
          <cell r="W27" t="str">
            <v>松木</v>
          </cell>
          <cell r="X27" t="str">
            <v>西郡</v>
          </cell>
          <cell r="Y27" t="str">
            <v>龍野</v>
          </cell>
          <cell r="Z27" t="str">
            <v>諸田</v>
          </cell>
          <cell r="AA27" t="str">
            <v>松木</v>
          </cell>
          <cell r="AB27" t="str">
            <v/>
          </cell>
          <cell r="AC27" t="str">
            <v/>
          </cell>
          <cell r="AD27" t="str">
            <v>松木</v>
          </cell>
          <cell r="AE27" t="str">
            <v>松木</v>
          </cell>
          <cell r="AF27" t="str">
            <v>諸田</v>
          </cell>
          <cell r="AG27" t="str">
            <v>諸田</v>
          </cell>
          <cell r="AH27" t="str">
            <v>加藤</v>
          </cell>
        </row>
        <row r="28">
          <cell r="D28" t="str">
            <v/>
          </cell>
          <cell r="E28" t="str">
            <v>諸田</v>
          </cell>
          <cell r="F28" t="str">
            <v>西郡</v>
          </cell>
          <cell r="G28" t="str">
            <v/>
          </cell>
          <cell r="H28" t="str">
            <v/>
          </cell>
          <cell r="I28" t="str">
            <v>諸田</v>
          </cell>
          <cell r="J28" t="str">
            <v>諸田</v>
          </cell>
          <cell r="K28" t="str">
            <v>樫田</v>
          </cell>
          <cell r="L28" t="str">
            <v>西郡</v>
          </cell>
          <cell r="M28" t="str">
            <v>諸田</v>
          </cell>
          <cell r="N28" t="str">
            <v/>
          </cell>
          <cell r="O28" t="str">
            <v/>
          </cell>
          <cell r="P28" t="str">
            <v>松木</v>
          </cell>
          <cell r="Q28" t="str">
            <v>松木</v>
          </cell>
          <cell r="R28" t="str">
            <v>松木</v>
          </cell>
          <cell r="S28" t="str">
            <v>樫田</v>
          </cell>
          <cell r="T28" t="str">
            <v>樫田</v>
          </cell>
          <cell r="U28" t="str">
            <v/>
          </cell>
          <cell r="V28" t="str">
            <v/>
          </cell>
          <cell r="W28" t="str">
            <v>諸田</v>
          </cell>
          <cell r="X28" t="str">
            <v>諸田</v>
          </cell>
          <cell r="Y28" t="str">
            <v>西郡</v>
          </cell>
          <cell r="Z28" t="str">
            <v>樫田</v>
          </cell>
          <cell r="AA28" t="str">
            <v>諸田</v>
          </cell>
          <cell r="AB28" t="str">
            <v/>
          </cell>
          <cell r="AC28" t="str">
            <v/>
          </cell>
          <cell r="AD28" t="str">
            <v>諸田</v>
          </cell>
          <cell r="AE28" t="str">
            <v>諸田</v>
          </cell>
          <cell r="AF28" t="str">
            <v>樫田</v>
          </cell>
          <cell r="AG28" t="str">
            <v>樫田</v>
          </cell>
          <cell r="AH28" t="str">
            <v>本田</v>
          </cell>
        </row>
        <row r="29">
          <cell r="D29" t="str">
            <v/>
          </cell>
          <cell r="E29" t="str">
            <v>樫田</v>
          </cell>
          <cell r="F29" t="str">
            <v>樫田</v>
          </cell>
          <cell r="G29" t="str">
            <v/>
          </cell>
          <cell r="H29" t="str">
            <v/>
          </cell>
          <cell r="I29" t="str">
            <v>中村公</v>
          </cell>
          <cell r="J29" t="str">
            <v>中村公</v>
          </cell>
          <cell r="K29" t="str">
            <v>中村公</v>
          </cell>
          <cell r="L29" t="str">
            <v>諸田</v>
          </cell>
          <cell r="M29" t="str">
            <v>樫田</v>
          </cell>
          <cell r="N29" t="str">
            <v/>
          </cell>
          <cell r="O29" t="str">
            <v/>
          </cell>
          <cell r="P29" t="str">
            <v>樫田</v>
          </cell>
          <cell r="Q29" t="str">
            <v>樫田</v>
          </cell>
          <cell r="R29" t="str">
            <v>諸田</v>
          </cell>
          <cell r="S29" t="str">
            <v>中村公</v>
          </cell>
          <cell r="T29" t="str">
            <v>中村公</v>
          </cell>
          <cell r="U29" t="str">
            <v/>
          </cell>
          <cell r="V29" t="str">
            <v/>
          </cell>
          <cell r="W29" t="str">
            <v>樫田</v>
          </cell>
          <cell r="X29" t="str">
            <v>樫田</v>
          </cell>
          <cell r="Y29" t="str">
            <v>諸田</v>
          </cell>
          <cell r="Z29" t="str">
            <v>中村公</v>
          </cell>
          <cell r="AA29" t="str">
            <v>樫田</v>
          </cell>
          <cell r="AB29" t="str">
            <v/>
          </cell>
          <cell r="AC29" t="str">
            <v/>
          </cell>
          <cell r="AD29" t="str">
            <v>樫田</v>
          </cell>
          <cell r="AE29" t="str">
            <v>樫田</v>
          </cell>
          <cell r="AF29" t="str">
            <v>中村公</v>
          </cell>
          <cell r="AG29" t="str">
            <v>中村公</v>
          </cell>
          <cell r="AH29" t="str">
            <v>佐藤穂</v>
          </cell>
        </row>
        <row r="30">
          <cell r="D30" t="str">
            <v/>
          </cell>
          <cell r="E30" t="str">
            <v>中村公</v>
          </cell>
          <cell r="F30" t="str">
            <v>中村公</v>
          </cell>
          <cell r="G30" t="str">
            <v/>
          </cell>
          <cell r="H30" t="str">
            <v/>
          </cell>
          <cell r="I30" t="str">
            <v>福知</v>
          </cell>
          <cell r="J30" t="str">
            <v>福知</v>
          </cell>
          <cell r="K30" t="str">
            <v>福知</v>
          </cell>
          <cell r="L30" t="str">
            <v>樫田</v>
          </cell>
          <cell r="M30" t="str">
            <v>中村公</v>
          </cell>
          <cell r="N30" t="str">
            <v/>
          </cell>
          <cell r="O30" t="str">
            <v/>
          </cell>
          <cell r="P30" t="str">
            <v>中村公</v>
          </cell>
          <cell r="Q30" t="str">
            <v>中村公</v>
          </cell>
          <cell r="R30" t="str">
            <v>樫田</v>
          </cell>
          <cell r="S30" t="str">
            <v>福知</v>
          </cell>
          <cell r="T30" t="str">
            <v>福知</v>
          </cell>
          <cell r="U30" t="str">
            <v/>
          </cell>
          <cell r="V30" t="str">
            <v/>
          </cell>
          <cell r="W30" t="str">
            <v>中村公</v>
          </cell>
          <cell r="X30" t="str">
            <v>中村公</v>
          </cell>
          <cell r="Y30" t="str">
            <v>中村公</v>
          </cell>
          <cell r="Z30" t="str">
            <v>福知</v>
          </cell>
          <cell r="AA30" t="str">
            <v>中村公</v>
          </cell>
          <cell r="AB30" t="str">
            <v/>
          </cell>
          <cell r="AC30" t="str">
            <v/>
          </cell>
          <cell r="AD30" t="str">
            <v>福知</v>
          </cell>
          <cell r="AE30" t="str">
            <v>福知</v>
          </cell>
          <cell r="AF30" t="str">
            <v>福知</v>
          </cell>
          <cell r="AG30" t="str">
            <v>福知</v>
          </cell>
          <cell r="AH30" t="str">
            <v>薬司</v>
          </cell>
        </row>
        <row r="31">
          <cell r="D31" t="str">
            <v/>
          </cell>
          <cell r="E31" t="str">
            <v>福知</v>
          </cell>
          <cell r="F31" t="str">
            <v>福知</v>
          </cell>
          <cell r="G31" t="str">
            <v/>
          </cell>
          <cell r="H31" t="str">
            <v/>
          </cell>
          <cell r="I31" t="str">
            <v>袋</v>
          </cell>
          <cell r="J31" t="str">
            <v>袋</v>
          </cell>
          <cell r="K31" t="str">
            <v>袋</v>
          </cell>
          <cell r="L31" t="str">
            <v>中村公</v>
          </cell>
          <cell r="M31" t="str">
            <v>福知</v>
          </cell>
          <cell r="N31" t="str">
            <v/>
          </cell>
          <cell r="O31" t="str">
            <v/>
          </cell>
          <cell r="P31" t="str">
            <v>福知</v>
          </cell>
          <cell r="Q31" t="str">
            <v>福知</v>
          </cell>
          <cell r="R31" t="str">
            <v>中村公</v>
          </cell>
          <cell r="S31" t="str">
            <v>袋</v>
          </cell>
          <cell r="T31" t="str">
            <v>袋</v>
          </cell>
          <cell r="U31" t="str">
            <v/>
          </cell>
          <cell r="V31" t="str">
            <v/>
          </cell>
          <cell r="W31" t="str">
            <v>袋</v>
          </cell>
          <cell r="X31" t="str">
            <v>袋</v>
          </cell>
          <cell r="Y31" t="str">
            <v>福知</v>
          </cell>
          <cell r="Z31" t="str">
            <v>袋</v>
          </cell>
          <cell r="AA31" t="str">
            <v>福知</v>
          </cell>
          <cell r="AB31" t="str">
            <v/>
          </cell>
          <cell r="AC31" t="str">
            <v/>
          </cell>
          <cell r="AD31" t="str">
            <v>袋</v>
          </cell>
          <cell r="AE31" t="str">
            <v>袋</v>
          </cell>
          <cell r="AF31" t="str">
            <v>袋</v>
          </cell>
          <cell r="AG31" t="str">
            <v>袋</v>
          </cell>
          <cell r="AH31" t="str">
            <v>龍野</v>
          </cell>
        </row>
        <row r="32">
          <cell r="D32" t="str">
            <v/>
          </cell>
          <cell r="E32" t="str">
            <v>袋</v>
          </cell>
          <cell r="F32" t="str">
            <v>袋</v>
          </cell>
          <cell r="G32" t="str">
            <v/>
          </cell>
          <cell r="H32" t="str">
            <v/>
          </cell>
          <cell r="I32" t="str">
            <v>雨池</v>
          </cell>
          <cell r="J32" t="str">
            <v>雨池</v>
          </cell>
          <cell r="K32" t="str">
            <v>雨池</v>
          </cell>
          <cell r="L32" t="str">
            <v>福知</v>
          </cell>
          <cell r="M32" t="str">
            <v>袋</v>
          </cell>
          <cell r="N32" t="str">
            <v/>
          </cell>
          <cell r="O32" t="str">
            <v/>
          </cell>
          <cell r="P32" t="str">
            <v>雨池</v>
          </cell>
          <cell r="Q32" t="str">
            <v>雨池</v>
          </cell>
          <cell r="R32" t="str">
            <v>福知</v>
          </cell>
          <cell r="S32" t="str">
            <v>雨池</v>
          </cell>
          <cell r="T32" t="str">
            <v>雨池</v>
          </cell>
          <cell r="U32" t="str">
            <v/>
          </cell>
          <cell r="V32" t="str">
            <v/>
          </cell>
          <cell r="W32" t="str">
            <v>雨池</v>
          </cell>
          <cell r="X32" t="str">
            <v>雨池</v>
          </cell>
          <cell r="Y32" t="str">
            <v>袋</v>
          </cell>
          <cell r="Z32" t="str">
            <v>雨池</v>
          </cell>
          <cell r="AA32" t="str">
            <v>袋</v>
          </cell>
          <cell r="AB32" t="str">
            <v/>
          </cell>
          <cell r="AC32" t="str">
            <v/>
          </cell>
          <cell r="AD32" t="str">
            <v>雨池</v>
          </cell>
          <cell r="AE32" t="str">
            <v>雨池</v>
          </cell>
          <cell r="AF32" t="str">
            <v>雨池</v>
          </cell>
          <cell r="AG32" t="str">
            <v>雨池</v>
          </cell>
          <cell r="AH32" t="str">
            <v>西郡</v>
          </cell>
        </row>
        <row r="33">
          <cell r="D33" t="str">
            <v/>
          </cell>
          <cell r="E33" t="str">
            <v>能登</v>
          </cell>
          <cell r="F33" t="str">
            <v>能登</v>
          </cell>
          <cell r="G33" t="str">
            <v/>
          </cell>
          <cell r="H33" t="str">
            <v/>
          </cell>
          <cell r="I33" t="str">
            <v>能登</v>
          </cell>
          <cell r="J33" t="str">
            <v>能登</v>
          </cell>
          <cell r="K33" t="str">
            <v>能登</v>
          </cell>
          <cell r="L33" t="str">
            <v>袋</v>
          </cell>
          <cell r="M33" t="str">
            <v>雨池</v>
          </cell>
          <cell r="N33" t="str">
            <v/>
          </cell>
          <cell r="O33" t="str">
            <v/>
          </cell>
          <cell r="P33" t="str">
            <v>能登</v>
          </cell>
          <cell r="Q33" t="str">
            <v>能登</v>
          </cell>
          <cell r="R33" t="str">
            <v>袋</v>
          </cell>
          <cell r="S33" t="str">
            <v>能登</v>
          </cell>
          <cell r="T33" t="str">
            <v>能登</v>
          </cell>
          <cell r="U33" t="str">
            <v/>
          </cell>
          <cell r="V33" t="str">
            <v/>
          </cell>
          <cell r="W33" t="str">
            <v>能登</v>
          </cell>
          <cell r="X33" t="str">
            <v>能登</v>
          </cell>
          <cell r="Y33" t="str">
            <v>雨池</v>
          </cell>
          <cell r="Z33" t="str">
            <v>能登</v>
          </cell>
          <cell r="AA33" t="str">
            <v>雨池</v>
          </cell>
          <cell r="AB33" t="str">
            <v/>
          </cell>
          <cell r="AC33" t="str">
            <v/>
          </cell>
          <cell r="AD33" t="str">
            <v>能登</v>
          </cell>
          <cell r="AE33" t="str">
            <v>能登</v>
          </cell>
          <cell r="AF33" t="str">
            <v>能登</v>
          </cell>
          <cell r="AG33" t="str">
            <v>能登</v>
          </cell>
          <cell r="AH33" t="str">
            <v>松木</v>
          </cell>
        </row>
        <row r="34">
          <cell r="D34" t="str">
            <v/>
          </cell>
          <cell r="E34" t="str">
            <v>中川香</v>
          </cell>
          <cell r="F34" t="str">
            <v>中川香</v>
          </cell>
          <cell r="G34" t="str">
            <v/>
          </cell>
          <cell r="H34" t="str">
            <v/>
          </cell>
          <cell r="I34" t="str">
            <v>中川香</v>
          </cell>
          <cell r="J34" t="str">
            <v>中川香</v>
          </cell>
          <cell r="K34" t="str">
            <v>中川香</v>
          </cell>
          <cell r="L34" t="str">
            <v>雨池</v>
          </cell>
          <cell r="M34" t="str">
            <v>能登</v>
          </cell>
          <cell r="N34" t="str">
            <v/>
          </cell>
          <cell r="O34" t="str">
            <v/>
          </cell>
          <cell r="P34" t="str">
            <v>中川香</v>
          </cell>
          <cell r="Q34" t="str">
            <v>中川香</v>
          </cell>
          <cell r="R34" t="str">
            <v>雨池</v>
          </cell>
          <cell r="S34" t="str">
            <v>中川香</v>
          </cell>
          <cell r="T34" t="str">
            <v>中川香</v>
          </cell>
          <cell r="U34" t="str">
            <v/>
          </cell>
          <cell r="V34" t="str">
            <v/>
          </cell>
          <cell r="W34" t="str">
            <v>中川香</v>
          </cell>
          <cell r="X34" t="str">
            <v>中川香</v>
          </cell>
          <cell r="Y34" t="str">
            <v>能登</v>
          </cell>
          <cell r="Z34" t="str">
            <v>中川香</v>
          </cell>
          <cell r="AA34" t="str">
            <v>能登</v>
          </cell>
          <cell r="AB34" t="str">
            <v/>
          </cell>
          <cell r="AC34" t="str">
            <v/>
          </cell>
          <cell r="AD34" t="str">
            <v>中川香</v>
          </cell>
          <cell r="AE34" t="str">
            <v>中川香</v>
          </cell>
          <cell r="AF34" t="str">
            <v>中川香</v>
          </cell>
          <cell r="AG34" t="str">
            <v>中川香</v>
          </cell>
          <cell r="AH34" t="str">
            <v>諸田</v>
          </cell>
        </row>
        <row r="35"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>能登</v>
          </cell>
          <cell r="M35" t="str">
            <v>中川香</v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>能登</v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>中川香</v>
          </cell>
          <cell r="Z35" t="str">
            <v/>
          </cell>
          <cell r="AA35" t="str">
            <v>中川香</v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  <cell r="AF35" t="str">
            <v/>
          </cell>
          <cell r="AG35" t="str">
            <v/>
          </cell>
          <cell r="AH35" t="str">
            <v>樫田</v>
          </cell>
        </row>
        <row r="36"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>中川香</v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>中川香</v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  <cell r="AF36" t="str">
            <v/>
          </cell>
          <cell r="AG36" t="str">
            <v/>
          </cell>
          <cell r="AH36" t="str">
            <v>中村公</v>
          </cell>
        </row>
        <row r="37"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  <cell r="AF37" t="str">
            <v/>
          </cell>
          <cell r="AG37" t="str">
            <v/>
          </cell>
          <cell r="AH37" t="str">
            <v>福知</v>
          </cell>
        </row>
        <row r="38"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  <cell r="AF38" t="str">
            <v/>
          </cell>
          <cell r="AG38" t="str">
            <v/>
          </cell>
          <cell r="AH38" t="str">
            <v>袋</v>
          </cell>
        </row>
        <row r="39"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  <cell r="AF39" t="str">
            <v/>
          </cell>
          <cell r="AG39" t="str">
            <v/>
          </cell>
          <cell r="AH39" t="str">
            <v>雨池</v>
          </cell>
        </row>
        <row r="40"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  <cell r="AF40" t="str">
            <v/>
          </cell>
          <cell r="AG40" t="str">
            <v/>
          </cell>
          <cell r="AH40" t="str">
            <v>中川大</v>
          </cell>
        </row>
        <row r="41"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  <cell r="AF41" t="str">
            <v/>
          </cell>
          <cell r="AG41" t="str">
            <v/>
          </cell>
          <cell r="AH41" t="str">
            <v>奥野</v>
          </cell>
        </row>
        <row r="42"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  <cell r="AF42" t="str">
            <v/>
          </cell>
          <cell r="AG42" t="str">
            <v/>
          </cell>
          <cell r="AH42" t="str">
            <v>杉田</v>
          </cell>
        </row>
        <row r="43"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  <cell r="AF43" t="str">
            <v/>
          </cell>
          <cell r="AG43" t="str">
            <v/>
          </cell>
          <cell r="AH43" t="str">
            <v>坂田</v>
          </cell>
        </row>
        <row r="44"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  <cell r="AF44" t="str">
            <v/>
          </cell>
          <cell r="AG44" t="str">
            <v/>
          </cell>
          <cell r="AH44" t="str">
            <v>能登</v>
          </cell>
        </row>
        <row r="45"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  <cell r="AF45" t="str">
            <v/>
          </cell>
          <cell r="AG45" t="str">
            <v/>
          </cell>
          <cell r="AH45" t="str">
            <v>中川香</v>
          </cell>
        </row>
        <row r="46"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  <cell r="AF46" t="str">
            <v/>
          </cell>
          <cell r="AG46" t="str">
            <v/>
          </cell>
          <cell r="AH46" t="str">
            <v>木田</v>
          </cell>
        </row>
        <row r="47"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  <cell r="AF47" t="str">
            <v/>
          </cell>
          <cell r="AG47" t="str">
            <v/>
          </cell>
          <cell r="AH47" t="str">
            <v/>
          </cell>
        </row>
        <row r="48"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  <cell r="AF48" t="str">
            <v/>
          </cell>
          <cell r="AG48" t="str">
            <v/>
          </cell>
          <cell r="AH48" t="str">
            <v/>
          </cell>
        </row>
        <row r="49"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  <cell r="AF49" t="str">
            <v/>
          </cell>
          <cell r="AG49" t="str">
            <v/>
          </cell>
          <cell r="AH49" t="str">
            <v/>
          </cell>
        </row>
        <row r="50"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  <cell r="AF50" t="str">
            <v/>
          </cell>
          <cell r="AG50" t="str">
            <v/>
          </cell>
          <cell r="AH50" t="str">
            <v/>
          </cell>
        </row>
        <row r="51"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</row>
        <row r="52"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  <cell r="AF52" t="str">
            <v/>
          </cell>
          <cell r="AG52" t="str">
            <v/>
          </cell>
          <cell r="AH52" t="str">
            <v/>
          </cell>
        </row>
        <row r="53">
          <cell r="D53" t="str">
            <v/>
          </cell>
          <cell r="E53">
            <v>1</v>
          </cell>
          <cell r="F53">
            <v>1</v>
          </cell>
          <cell r="G53" t="str">
            <v/>
          </cell>
          <cell r="H53" t="str">
            <v/>
          </cell>
          <cell r="I53">
            <v>1</v>
          </cell>
          <cell r="J53">
            <v>1</v>
          </cell>
          <cell r="K53">
            <v>1</v>
          </cell>
          <cell r="L53">
            <v>1</v>
          </cell>
          <cell r="M53">
            <v>1</v>
          </cell>
          <cell r="N53" t="str">
            <v/>
          </cell>
          <cell r="O53" t="str">
            <v/>
          </cell>
          <cell r="P53">
            <v>1</v>
          </cell>
          <cell r="Q53">
            <v>1</v>
          </cell>
          <cell r="R53">
            <v>1</v>
          </cell>
          <cell r="S53">
            <v>1</v>
          </cell>
          <cell r="T53">
            <v>1</v>
          </cell>
          <cell r="U53" t="str">
            <v/>
          </cell>
          <cell r="V53" t="str">
            <v/>
          </cell>
          <cell r="W53">
            <v>1</v>
          </cell>
          <cell r="X53">
            <v>1</v>
          </cell>
          <cell r="Y53">
            <v>1</v>
          </cell>
          <cell r="Z53">
            <v>1</v>
          </cell>
          <cell r="AA53">
            <v>1</v>
          </cell>
          <cell r="AB53" t="str">
            <v/>
          </cell>
          <cell r="AC53" t="str">
            <v/>
          </cell>
          <cell r="AD53">
            <v>1</v>
          </cell>
          <cell r="AE53">
            <v>1</v>
          </cell>
          <cell r="AF53">
            <v>1</v>
          </cell>
          <cell r="AG53">
            <v>1</v>
          </cell>
          <cell r="AH53">
            <v>1</v>
          </cell>
        </row>
        <row r="54">
          <cell r="D54" t="str">
            <v/>
          </cell>
          <cell r="E54">
            <v>2</v>
          </cell>
          <cell r="F54">
            <v>2</v>
          </cell>
          <cell r="G54" t="str">
            <v/>
          </cell>
          <cell r="H54" t="str">
            <v/>
          </cell>
          <cell r="I54">
            <v>2</v>
          </cell>
          <cell r="J54">
            <v>2</v>
          </cell>
          <cell r="K54">
            <v>2</v>
          </cell>
          <cell r="L54">
            <v>2</v>
          </cell>
          <cell r="M54">
            <v>2</v>
          </cell>
          <cell r="N54" t="str">
            <v/>
          </cell>
          <cell r="O54" t="str">
            <v/>
          </cell>
          <cell r="P54">
            <v>2</v>
          </cell>
          <cell r="Q54">
            <v>2</v>
          </cell>
          <cell r="R54">
            <v>2</v>
          </cell>
          <cell r="S54">
            <v>2</v>
          </cell>
          <cell r="T54">
            <v>2</v>
          </cell>
          <cell r="U54" t="str">
            <v/>
          </cell>
          <cell r="V54" t="str">
            <v/>
          </cell>
          <cell r="W54">
            <v>2</v>
          </cell>
          <cell r="X54">
            <v>2</v>
          </cell>
          <cell r="Y54">
            <v>2</v>
          </cell>
          <cell r="Z54">
            <v>2</v>
          </cell>
          <cell r="AA54">
            <v>2</v>
          </cell>
          <cell r="AB54" t="str">
            <v/>
          </cell>
          <cell r="AC54" t="str">
            <v/>
          </cell>
          <cell r="AD54">
            <v>2</v>
          </cell>
          <cell r="AE54" t="str">
            <v/>
          </cell>
          <cell r="AF54" t="str">
            <v/>
          </cell>
          <cell r="AG54">
            <v>2</v>
          </cell>
          <cell r="AH54">
            <v>2</v>
          </cell>
        </row>
        <row r="55">
          <cell r="D55" t="str">
            <v/>
          </cell>
          <cell r="E55">
            <v>3</v>
          </cell>
          <cell r="F55">
            <v>3</v>
          </cell>
          <cell r="G55" t="str">
            <v/>
          </cell>
          <cell r="H55" t="str">
            <v/>
          </cell>
          <cell r="I55">
            <v>3</v>
          </cell>
          <cell r="J55">
            <v>3</v>
          </cell>
          <cell r="K55">
            <v>3</v>
          </cell>
          <cell r="L55">
            <v>3</v>
          </cell>
          <cell r="M55">
            <v>3</v>
          </cell>
          <cell r="N55" t="str">
            <v/>
          </cell>
          <cell r="O55" t="str">
            <v/>
          </cell>
          <cell r="P55">
            <v>3</v>
          </cell>
          <cell r="Q55">
            <v>3</v>
          </cell>
          <cell r="R55" t="str">
            <v/>
          </cell>
          <cell r="S55" t="str">
            <v/>
          </cell>
          <cell r="T55">
            <v>3</v>
          </cell>
          <cell r="U55" t="str">
            <v/>
          </cell>
          <cell r="V55" t="str">
            <v/>
          </cell>
          <cell r="W55">
            <v>3</v>
          </cell>
          <cell r="X55">
            <v>3</v>
          </cell>
          <cell r="Y55">
            <v>3</v>
          </cell>
          <cell r="Z55">
            <v>3</v>
          </cell>
          <cell r="AA55">
            <v>3</v>
          </cell>
          <cell r="AB55" t="str">
            <v/>
          </cell>
          <cell r="AC55" t="str">
            <v/>
          </cell>
          <cell r="AD55">
            <v>3</v>
          </cell>
          <cell r="AE55">
            <v>2</v>
          </cell>
          <cell r="AF55" t="str">
            <v/>
          </cell>
          <cell r="AG55" t="str">
            <v/>
          </cell>
          <cell r="AH55">
            <v>3</v>
          </cell>
        </row>
        <row r="56">
          <cell r="D56" t="str">
            <v/>
          </cell>
          <cell r="E56">
            <v>4</v>
          </cell>
          <cell r="F56" t="str">
            <v/>
          </cell>
          <cell r="G56" t="str">
            <v/>
          </cell>
          <cell r="H56" t="str">
            <v/>
          </cell>
          <cell r="I56">
            <v>4</v>
          </cell>
          <cell r="J56">
            <v>4</v>
          </cell>
          <cell r="K56">
            <v>4</v>
          </cell>
          <cell r="L56">
            <v>4</v>
          </cell>
          <cell r="M56">
            <v>4</v>
          </cell>
          <cell r="N56" t="str">
            <v/>
          </cell>
          <cell r="O56" t="str">
            <v/>
          </cell>
          <cell r="P56">
            <v>4</v>
          </cell>
          <cell r="Q56">
            <v>4</v>
          </cell>
          <cell r="R56">
            <v>3</v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>
            <v>4</v>
          </cell>
          <cell r="X56">
            <v>4</v>
          </cell>
          <cell r="Y56">
            <v>4</v>
          </cell>
          <cell r="Z56">
            <v>4</v>
          </cell>
          <cell r="AA56">
            <v>4</v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  <cell r="AF56" t="str">
            <v/>
          </cell>
          <cell r="AG56">
            <v>3</v>
          </cell>
          <cell r="AH56">
            <v>4</v>
          </cell>
        </row>
        <row r="57">
          <cell r="D57" t="str">
            <v/>
          </cell>
          <cell r="E57">
            <v>5</v>
          </cell>
          <cell r="F57">
            <v>4</v>
          </cell>
          <cell r="G57" t="str">
            <v/>
          </cell>
          <cell r="H57" t="str">
            <v/>
          </cell>
          <cell r="I57">
            <v>5</v>
          </cell>
          <cell r="J57">
            <v>5</v>
          </cell>
          <cell r="K57">
            <v>5</v>
          </cell>
          <cell r="L57">
            <v>5</v>
          </cell>
          <cell r="M57">
            <v>5</v>
          </cell>
          <cell r="N57" t="str">
            <v/>
          </cell>
          <cell r="O57" t="str">
            <v/>
          </cell>
          <cell r="P57">
            <v>5</v>
          </cell>
          <cell r="Q57">
            <v>5</v>
          </cell>
          <cell r="R57">
            <v>4</v>
          </cell>
          <cell r="S57">
            <v>3</v>
          </cell>
          <cell r="T57">
            <v>4</v>
          </cell>
          <cell r="U57" t="str">
            <v/>
          </cell>
          <cell r="V57" t="str">
            <v/>
          </cell>
          <cell r="W57">
            <v>5</v>
          </cell>
          <cell r="X57">
            <v>5</v>
          </cell>
          <cell r="Y57">
            <v>5</v>
          </cell>
          <cell r="Z57">
            <v>5</v>
          </cell>
          <cell r="AA57">
            <v>5</v>
          </cell>
          <cell r="AB57" t="str">
            <v/>
          </cell>
          <cell r="AC57" t="str">
            <v/>
          </cell>
          <cell r="AD57">
            <v>4</v>
          </cell>
          <cell r="AE57">
            <v>3</v>
          </cell>
          <cell r="AF57">
            <v>2</v>
          </cell>
          <cell r="AG57">
            <v>4</v>
          </cell>
          <cell r="AH57">
            <v>5</v>
          </cell>
        </row>
        <row r="58">
          <cell r="D58" t="str">
            <v/>
          </cell>
          <cell r="E58">
            <v>6</v>
          </cell>
          <cell r="F58">
            <v>5</v>
          </cell>
          <cell r="G58" t="str">
            <v/>
          </cell>
          <cell r="H58" t="str">
            <v/>
          </cell>
          <cell r="I58">
            <v>6</v>
          </cell>
          <cell r="J58">
            <v>6</v>
          </cell>
          <cell r="K58">
            <v>6</v>
          </cell>
          <cell r="L58">
            <v>6</v>
          </cell>
          <cell r="M58">
            <v>6</v>
          </cell>
          <cell r="N58" t="str">
            <v/>
          </cell>
          <cell r="O58" t="str">
            <v/>
          </cell>
          <cell r="P58">
            <v>6</v>
          </cell>
          <cell r="Q58">
            <v>6</v>
          </cell>
          <cell r="R58">
            <v>5</v>
          </cell>
          <cell r="S58">
            <v>4</v>
          </cell>
          <cell r="T58">
            <v>5</v>
          </cell>
          <cell r="U58" t="str">
            <v/>
          </cell>
          <cell r="V58" t="str">
            <v/>
          </cell>
          <cell r="W58">
            <v>6</v>
          </cell>
          <cell r="X58">
            <v>6</v>
          </cell>
          <cell r="Y58">
            <v>6</v>
          </cell>
          <cell r="Z58">
            <v>6</v>
          </cell>
          <cell r="AA58">
            <v>6</v>
          </cell>
          <cell r="AB58" t="str">
            <v/>
          </cell>
          <cell r="AC58" t="str">
            <v/>
          </cell>
          <cell r="AD58">
            <v>5</v>
          </cell>
          <cell r="AE58">
            <v>4</v>
          </cell>
          <cell r="AF58">
            <v>3</v>
          </cell>
          <cell r="AG58">
            <v>5</v>
          </cell>
          <cell r="AH58">
            <v>6</v>
          </cell>
        </row>
        <row r="59">
          <cell r="D59" t="str">
            <v/>
          </cell>
          <cell r="E59">
            <v>7</v>
          </cell>
          <cell r="F59">
            <v>6</v>
          </cell>
          <cell r="G59" t="str">
            <v/>
          </cell>
          <cell r="H59" t="str">
            <v/>
          </cell>
          <cell r="I59">
            <v>7</v>
          </cell>
          <cell r="J59">
            <v>7</v>
          </cell>
          <cell r="K59">
            <v>7</v>
          </cell>
          <cell r="L59">
            <v>7</v>
          </cell>
          <cell r="M59">
            <v>7</v>
          </cell>
          <cell r="N59" t="str">
            <v/>
          </cell>
          <cell r="O59" t="str">
            <v/>
          </cell>
          <cell r="P59">
            <v>7</v>
          </cell>
          <cell r="Q59">
            <v>7</v>
          </cell>
          <cell r="R59">
            <v>6</v>
          </cell>
          <cell r="S59">
            <v>5</v>
          </cell>
          <cell r="T59">
            <v>6</v>
          </cell>
          <cell r="U59" t="str">
            <v/>
          </cell>
          <cell r="V59" t="str">
            <v/>
          </cell>
          <cell r="W59">
            <v>7</v>
          </cell>
          <cell r="X59">
            <v>7</v>
          </cell>
          <cell r="Y59">
            <v>7</v>
          </cell>
          <cell r="Z59">
            <v>7</v>
          </cell>
          <cell r="AA59">
            <v>7</v>
          </cell>
          <cell r="AB59" t="str">
            <v/>
          </cell>
          <cell r="AC59" t="str">
            <v/>
          </cell>
          <cell r="AD59">
            <v>6</v>
          </cell>
          <cell r="AE59">
            <v>5</v>
          </cell>
          <cell r="AF59">
            <v>4</v>
          </cell>
          <cell r="AG59">
            <v>6</v>
          </cell>
          <cell r="AH59">
            <v>7</v>
          </cell>
        </row>
        <row r="60">
          <cell r="D60" t="str">
            <v/>
          </cell>
          <cell r="E60">
            <v>8</v>
          </cell>
          <cell r="F60">
            <v>7</v>
          </cell>
          <cell r="G60" t="str">
            <v/>
          </cell>
          <cell r="H60" t="str">
            <v/>
          </cell>
          <cell r="I60">
            <v>8</v>
          </cell>
          <cell r="J60">
            <v>8</v>
          </cell>
          <cell r="K60">
            <v>8</v>
          </cell>
          <cell r="L60">
            <v>8</v>
          </cell>
          <cell r="M60">
            <v>8</v>
          </cell>
          <cell r="N60" t="str">
            <v/>
          </cell>
          <cell r="O60" t="str">
            <v/>
          </cell>
          <cell r="P60">
            <v>8</v>
          </cell>
          <cell r="Q60">
            <v>8</v>
          </cell>
          <cell r="R60">
            <v>7</v>
          </cell>
          <cell r="S60">
            <v>6</v>
          </cell>
          <cell r="T60">
            <v>7</v>
          </cell>
          <cell r="U60" t="str">
            <v/>
          </cell>
          <cell r="V60" t="str">
            <v/>
          </cell>
          <cell r="W60">
            <v>8</v>
          </cell>
          <cell r="X60">
            <v>8</v>
          </cell>
          <cell r="Y60">
            <v>8</v>
          </cell>
          <cell r="Z60">
            <v>8</v>
          </cell>
          <cell r="AA60">
            <v>8</v>
          </cell>
          <cell r="AB60" t="str">
            <v/>
          </cell>
          <cell r="AC60" t="str">
            <v/>
          </cell>
          <cell r="AD60">
            <v>7</v>
          </cell>
          <cell r="AE60">
            <v>6</v>
          </cell>
          <cell r="AF60">
            <v>5</v>
          </cell>
          <cell r="AG60">
            <v>7</v>
          </cell>
          <cell r="AH60">
            <v>8</v>
          </cell>
        </row>
        <row r="61">
          <cell r="D61" t="str">
            <v/>
          </cell>
          <cell r="E61" t="str">
            <v/>
          </cell>
          <cell r="F61">
            <v>8</v>
          </cell>
          <cell r="G61" t="str">
            <v/>
          </cell>
          <cell r="H61" t="str">
            <v/>
          </cell>
          <cell r="I61" t="str">
            <v/>
          </cell>
          <cell r="J61">
            <v>9</v>
          </cell>
          <cell r="K61">
            <v>9</v>
          </cell>
          <cell r="L61">
            <v>9</v>
          </cell>
          <cell r="M61">
            <v>9</v>
          </cell>
          <cell r="N61" t="str">
            <v/>
          </cell>
          <cell r="O61" t="str">
            <v/>
          </cell>
          <cell r="P61">
            <v>9</v>
          </cell>
          <cell r="Q61">
            <v>9</v>
          </cell>
          <cell r="R61">
            <v>8</v>
          </cell>
          <cell r="S61">
            <v>7</v>
          </cell>
          <cell r="T61" t="str">
            <v/>
          </cell>
          <cell r="U61" t="str">
            <v/>
          </cell>
          <cell r="V61" t="str">
            <v/>
          </cell>
          <cell r="W61">
            <v>9</v>
          </cell>
          <cell r="X61">
            <v>9</v>
          </cell>
          <cell r="Y61">
            <v>9</v>
          </cell>
          <cell r="Z61" t="str">
            <v/>
          </cell>
          <cell r="AA61">
            <v>9</v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  <cell r="AF61">
            <v>6</v>
          </cell>
          <cell r="AG61" t="str">
            <v/>
          </cell>
          <cell r="AH61">
            <v>9</v>
          </cell>
        </row>
        <row r="62">
          <cell r="D62" t="str">
            <v/>
          </cell>
          <cell r="E62">
            <v>9</v>
          </cell>
          <cell r="F62">
            <v>9</v>
          </cell>
          <cell r="G62" t="str">
            <v/>
          </cell>
          <cell r="H62" t="str">
            <v/>
          </cell>
          <cell r="I62">
            <v>9</v>
          </cell>
          <cell r="J62" t="str">
            <v/>
          </cell>
          <cell r="K62" t="str">
            <v/>
          </cell>
          <cell r="L62">
            <v>10</v>
          </cell>
          <cell r="M62">
            <v>10</v>
          </cell>
          <cell r="N62" t="str">
            <v/>
          </cell>
          <cell r="O62">
            <v>1</v>
          </cell>
          <cell r="P62">
            <v>10</v>
          </cell>
          <cell r="Q62">
            <v>10</v>
          </cell>
          <cell r="R62">
            <v>9</v>
          </cell>
          <cell r="S62" t="str">
            <v/>
          </cell>
          <cell r="T62">
            <v>8</v>
          </cell>
          <cell r="U62" t="str">
            <v/>
          </cell>
          <cell r="V62" t="str">
            <v/>
          </cell>
          <cell r="W62">
            <v>10</v>
          </cell>
          <cell r="X62">
            <v>10</v>
          </cell>
          <cell r="Y62">
            <v>10</v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>
            <v>8</v>
          </cell>
          <cell r="AE62">
            <v>7</v>
          </cell>
          <cell r="AF62">
            <v>7</v>
          </cell>
          <cell r="AG62">
            <v>8</v>
          </cell>
          <cell r="AH62">
            <v>10</v>
          </cell>
        </row>
        <row r="63">
          <cell r="D63" t="str">
            <v/>
          </cell>
          <cell r="E63">
            <v>10</v>
          </cell>
          <cell r="F63">
            <v>10</v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>
            <v>10</v>
          </cell>
          <cell r="L63">
            <v>11</v>
          </cell>
          <cell r="M63">
            <v>11</v>
          </cell>
          <cell r="N63" t="str">
            <v/>
          </cell>
          <cell r="O63" t="str">
            <v/>
          </cell>
          <cell r="P63">
            <v>11</v>
          </cell>
          <cell r="Q63">
            <v>11</v>
          </cell>
          <cell r="R63">
            <v>10</v>
          </cell>
          <cell r="S63">
            <v>8</v>
          </cell>
          <cell r="T63">
            <v>9</v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>
            <v>11</v>
          </cell>
          <cell r="Z63">
            <v>9</v>
          </cell>
          <cell r="AA63">
            <v>10</v>
          </cell>
          <cell r="AB63" t="str">
            <v/>
          </cell>
          <cell r="AC63" t="str">
            <v/>
          </cell>
          <cell r="AD63">
            <v>9</v>
          </cell>
          <cell r="AE63">
            <v>8</v>
          </cell>
          <cell r="AF63">
            <v>8</v>
          </cell>
          <cell r="AG63">
            <v>9</v>
          </cell>
          <cell r="AH63">
            <v>11</v>
          </cell>
        </row>
        <row r="64">
          <cell r="D64" t="str">
            <v/>
          </cell>
          <cell r="E64">
            <v>11</v>
          </cell>
          <cell r="F64">
            <v>11</v>
          </cell>
          <cell r="G64" t="str">
            <v/>
          </cell>
          <cell r="H64">
            <v>1</v>
          </cell>
          <cell r="I64">
            <v>10</v>
          </cell>
          <cell r="J64">
            <v>10</v>
          </cell>
          <cell r="K64">
            <v>11</v>
          </cell>
          <cell r="L64">
            <v>12</v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>
            <v>12</v>
          </cell>
          <cell r="R64">
            <v>11</v>
          </cell>
          <cell r="S64">
            <v>9</v>
          </cell>
          <cell r="T64">
            <v>10</v>
          </cell>
          <cell r="U64" t="str">
            <v/>
          </cell>
          <cell r="V64" t="str">
            <v/>
          </cell>
          <cell r="W64">
            <v>11</v>
          </cell>
          <cell r="X64" t="str">
            <v/>
          </cell>
          <cell r="Y64" t="str">
            <v/>
          </cell>
          <cell r="Z64">
            <v>10</v>
          </cell>
          <cell r="AA64">
            <v>11</v>
          </cell>
          <cell r="AB64" t="str">
            <v/>
          </cell>
          <cell r="AC64" t="str">
            <v/>
          </cell>
          <cell r="AD64">
            <v>10</v>
          </cell>
          <cell r="AE64">
            <v>9</v>
          </cell>
          <cell r="AF64">
            <v>9</v>
          </cell>
          <cell r="AG64">
            <v>10</v>
          </cell>
          <cell r="AH64">
            <v>12</v>
          </cell>
        </row>
        <row r="65"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>
            <v>11</v>
          </cell>
          <cell r="J65">
            <v>11</v>
          </cell>
          <cell r="K65">
            <v>12</v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>
            <v>12</v>
          </cell>
          <cell r="Q65">
            <v>13</v>
          </cell>
          <cell r="R65">
            <v>12</v>
          </cell>
          <cell r="S65">
            <v>10</v>
          </cell>
          <cell r="T65">
            <v>11</v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>
            <v>12</v>
          </cell>
          <cell r="Z65">
            <v>11</v>
          </cell>
          <cell r="AA65">
            <v>12</v>
          </cell>
          <cell r="AB65" t="str">
            <v/>
          </cell>
          <cell r="AC65" t="str">
            <v/>
          </cell>
          <cell r="AD65" t="str">
            <v/>
          </cell>
          <cell r="AE65">
            <v>10</v>
          </cell>
          <cell r="AF65">
            <v>10</v>
          </cell>
          <cell r="AG65">
            <v>11</v>
          </cell>
          <cell r="AH65">
            <v>13</v>
          </cell>
        </row>
        <row r="66">
          <cell r="D66" t="str">
            <v/>
          </cell>
          <cell r="E66">
            <v>12</v>
          </cell>
          <cell r="F66">
            <v>12</v>
          </cell>
          <cell r="G66" t="str">
            <v/>
          </cell>
          <cell r="H66" t="str">
            <v/>
          </cell>
          <cell r="I66">
            <v>12</v>
          </cell>
          <cell r="J66">
            <v>12</v>
          </cell>
          <cell r="K66">
            <v>13</v>
          </cell>
          <cell r="L66">
            <v>13</v>
          </cell>
          <cell r="M66">
            <v>12</v>
          </cell>
          <cell r="N66" t="str">
            <v/>
          </cell>
          <cell r="O66" t="str">
            <v/>
          </cell>
          <cell r="P66">
            <v>13</v>
          </cell>
          <cell r="Q66">
            <v>14</v>
          </cell>
          <cell r="R66">
            <v>13</v>
          </cell>
          <cell r="S66">
            <v>11</v>
          </cell>
          <cell r="T66">
            <v>12</v>
          </cell>
          <cell r="U66" t="str">
            <v/>
          </cell>
          <cell r="V66" t="str">
            <v/>
          </cell>
          <cell r="W66">
            <v>12</v>
          </cell>
          <cell r="X66">
            <v>11</v>
          </cell>
          <cell r="Y66">
            <v>13</v>
          </cell>
          <cell r="Z66">
            <v>12</v>
          </cell>
          <cell r="AA66">
            <v>13</v>
          </cell>
          <cell r="AB66" t="str">
            <v/>
          </cell>
          <cell r="AC66" t="str">
            <v/>
          </cell>
          <cell r="AD66">
            <v>11</v>
          </cell>
          <cell r="AE66">
            <v>11</v>
          </cell>
          <cell r="AF66">
            <v>11</v>
          </cell>
          <cell r="AG66">
            <v>12</v>
          </cell>
          <cell r="AH66">
            <v>14</v>
          </cell>
        </row>
        <row r="67">
          <cell r="D67">
            <v>1</v>
          </cell>
          <cell r="E67" t="str">
            <v/>
          </cell>
          <cell r="F67">
            <v>13</v>
          </cell>
          <cell r="G67" t="str">
            <v/>
          </cell>
          <cell r="H67" t="str">
            <v/>
          </cell>
          <cell r="I67">
            <v>13</v>
          </cell>
          <cell r="J67">
            <v>13</v>
          </cell>
          <cell r="K67">
            <v>14</v>
          </cell>
          <cell r="L67">
            <v>14</v>
          </cell>
          <cell r="M67">
            <v>13</v>
          </cell>
          <cell r="N67" t="str">
            <v/>
          </cell>
          <cell r="O67" t="str">
            <v/>
          </cell>
          <cell r="P67">
            <v>14</v>
          </cell>
          <cell r="Q67" t="str">
            <v/>
          </cell>
          <cell r="R67" t="str">
            <v/>
          </cell>
          <cell r="S67">
            <v>12</v>
          </cell>
          <cell r="T67">
            <v>13</v>
          </cell>
          <cell r="U67" t="str">
            <v/>
          </cell>
          <cell r="V67" t="str">
            <v/>
          </cell>
          <cell r="W67">
            <v>13</v>
          </cell>
          <cell r="X67">
            <v>12</v>
          </cell>
          <cell r="Y67">
            <v>14</v>
          </cell>
          <cell r="Z67">
            <v>13</v>
          </cell>
          <cell r="AA67" t="str">
            <v/>
          </cell>
          <cell r="AB67" t="str">
            <v/>
          </cell>
          <cell r="AC67" t="str">
            <v/>
          </cell>
          <cell r="AD67">
            <v>12</v>
          </cell>
          <cell r="AE67">
            <v>12</v>
          </cell>
          <cell r="AF67">
            <v>12</v>
          </cell>
          <cell r="AG67" t="str">
            <v/>
          </cell>
          <cell r="AH67">
            <v>15</v>
          </cell>
        </row>
        <row r="68">
          <cell r="D68" t="str">
            <v/>
          </cell>
          <cell r="E68">
            <v>13</v>
          </cell>
          <cell r="F68">
            <v>14</v>
          </cell>
          <cell r="G68" t="str">
            <v/>
          </cell>
          <cell r="H68" t="str">
            <v/>
          </cell>
          <cell r="I68">
            <v>14</v>
          </cell>
          <cell r="J68">
            <v>14</v>
          </cell>
          <cell r="K68">
            <v>15</v>
          </cell>
          <cell r="L68">
            <v>15</v>
          </cell>
          <cell r="M68">
            <v>14</v>
          </cell>
          <cell r="N68" t="str">
            <v/>
          </cell>
          <cell r="O68" t="str">
            <v/>
          </cell>
          <cell r="P68">
            <v>15</v>
          </cell>
          <cell r="Q68">
            <v>15</v>
          </cell>
          <cell r="R68">
            <v>14</v>
          </cell>
          <cell r="S68">
            <v>13</v>
          </cell>
          <cell r="T68">
            <v>14</v>
          </cell>
          <cell r="U68" t="str">
            <v/>
          </cell>
          <cell r="V68" t="str">
            <v/>
          </cell>
          <cell r="W68">
            <v>14</v>
          </cell>
          <cell r="X68">
            <v>13</v>
          </cell>
          <cell r="Y68">
            <v>15</v>
          </cell>
          <cell r="Z68">
            <v>14</v>
          </cell>
          <cell r="AA68">
            <v>14</v>
          </cell>
          <cell r="AB68" t="str">
            <v/>
          </cell>
          <cell r="AC68" t="str">
            <v/>
          </cell>
          <cell r="AD68">
            <v>13</v>
          </cell>
          <cell r="AE68">
            <v>13</v>
          </cell>
          <cell r="AF68">
            <v>13</v>
          </cell>
          <cell r="AG68">
            <v>13</v>
          </cell>
          <cell r="AH68">
            <v>16</v>
          </cell>
        </row>
        <row r="69"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  <cell r="AF69" t="str">
            <v/>
          </cell>
          <cell r="AG69" t="str">
            <v/>
          </cell>
          <cell r="AH69">
            <v>17</v>
          </cell>
        </row>
        <row r="70">
          <cell r="D70" t="str">
            <v/>
          </cell>
          <cell r="E70">
            <v>14</v>
          </cell>
          <cell r="F70">
            <v>15</v>
          </cell>
          <cell r="G70" t="str">
            <v/>
          </cell>
          <cell r="H70" t="str">
            <v/>
          </cell>
          <cell r="I70">
            <v>15</v>
          </cell>
          <cell r="J70">
            <v>15</v>
          </cell>
          <cell r="K70">
            <v>16</v>
          </cell>
          <cell r="L70">
            <v>16</v>
          </cell>
          <cell r="M70">
            <v>15</v>
          </cell>
          <cell r="N70" t="str">
            <v/>
          </cell>
          <cell r="O70" t="str">
            <v/>
          </cell>
          <cell r="P70">
            <v>16</v>
          </cell>
          <cell r="Q70">
            <v>16</v>
          </cell>
          <cell r="R70">
            <v>15</v>
          </cell>
          <cell r="S70">
            <v>14</v>
          </cell>
          <cell r="T70">
            <v>15</v>
          </cell>
          <cell r="U70" t="str">
            <v/>
          </cell>
          <cell r="V70" t="str">
            <v/>
          </cell>
          <cell r="W70">
            <v>15</v>
          </cell>
          <cell r="X70">
            <v>14</v>
          </cell>
          <cell r="Y70">
            <v>16</v>
          </cell>
          <cell r="Z70">
            <v>15</v>
          </cell>
          <cell r="AA70">
            <v>15</v>
          </cell>
          <cell r="AB70" t="str">
            <v/>
          </cell>
          <cell r="AC70" t="str">
            <v/>
          </cell>
          <cell r="AD70">
            <v>14</v>
          </cell>
          <cell r="AE70">
            <v>14</v>
          </cell>
          <cell r="AF70">
            <v>14</v>
          </cell>
          <cell r="AG70">
            <v>14</v>
          </cell>
          <cell r="AH70">
            <v>18</v>
          </cell>
        </row>
        <row r="71">
          <cell r="D71" t="str">
            <v/>
          </cell>
          <cell r="E71">
            <v>15</v>
          </cell>
          <cell r="F71">
            <v>16</v>
          </cell>
          <cell r="G71" t="str">
            <v/>
          </cell>
          <cell r="H71" t="str">
            <v/>
          </cell>
          <cell r="I71">
            <v>16</v>
          </cell>
          <cell r="J71">
            <v>16</v>
          </cell>
          <cell r="K71">
            <v>17</v>
          </cell>
          <cell r="L71">
            <v>17</v>
          </cell>
          <cell r="M71" t="str">
            <v/>
          </cell>
          <cell r="N71" t="str">
            <v/>
          </cell>
          <cell r="O71" t="str">
            <v/>
          </cell>
          <cell r="P71">
            <v>17</v>
          </cell>
          <cell r="Q71">
            <v>17</v>
          </cell>
          <cell r="R71">
            <v>16</v>
          </cell>
          <cell r="S71" t="str">
            <v/>
          </cell>
          <cell r="T71">
            <v>16</v>
          </cell>
          <cell r="U71" t="str">
            <v/>
          </cell>
          <cell r="V71" t="str">
            <v/>
          </cell>
          <cell r="W71">
            <v>16</v>
          </cell>
          <cell r="X71">
            <v>15</v>
          </cell>
          <cell r="Y71">
            <v>17</v>
          </cell>
          <cell r="Z71">
            <v>16</v>
          </cell>
          <cell r="AA71">
            <v>16</v>
          </cell>
          <cell r="AB71" t="str">
            <v/>
          </cell>
          <cell r="AC71">
            <v>1</v>
          </cell>
          <cell r="AD71">
            <v>15</v>
          </cell>
          <cell r="AE71">
            <v>15</v>
          </cell>
          <cell r="AF71">
            <v>15</v>
          </cell>
          <cell r="AG71" t="str">
            <v/>
          </cell>
          <cell r="AH71">
            <v>19</v>
          </cell>
        </row>
        <row r="72">
          <cell r="D72" t="str">
            <v/>
          </cell>
          <cell r="E72">
            <v>16</v>
          </cell>
          <cell r="F72">
            <v>17</v>
          </cell>
          <cell r="G72" t="str">
            <v/>
          </cell>
          <cell r="H72" t="str">
            <v/>
          </cell>
          <cell r="I72">
            <v>17</v>
          </cell>
          <cell r="J72">
            <v>17</v>
          </cell>
          <cell r="K72">
            <v>18</v>
          </cell>
          <cell r="L72">
            <v>18</v>
          </cell>
          <cell r="M72">
            <v>16</v>
          </cell>
          <cell r="N72" t="str">
            <v/>
          </cell>
          <cell r="O72" t="str">
            <v/>
          </cell>
          <cell r="P72">
            <v>18</v>
          </cell>
          <cell r="Q72">
            <v>18</v>
          </cell>
          <cell r="R72">
            <v>17</v>
          </cell>
          <cell r="S72">
            <v>15</v>
          </cell>
          <cell r="T72">
            <v>17</v>
          </cell>
          <cell r="U72" t="str">
            <v/>
          </cell>
          <cell r="V72">
            <v>1</v>
          </cell>
          <cell r="W72">
            <v>17</v>
          </cell>
          <cell r="X72">
            <v>16</v>
          </cell>
          <cell r="Y72">
            <v>18</v>
          </cell>
          <cell r="Z72">
            <v>17</v>
          </cell>
          <cell r="AA72" t="str">
            <v/>
          </cell>
          <cell r="AB72" t="str">
            <v/>
          </cell>
          <cell r="AC72" t="str">
            <v/>
          </cell>
          <cell r="AD72">
            <v>16</v>
          </cell>
          <cell r="AE72">
            <v>16</v>
          </cell>
          <cell r="AF72">
            <v>16</v>
          </cell>
          <cell r="AG72">
            <v>15</v>
          </cell>
          <cell r="AH72">
            <v>20</v>
          </cell>
        </row>
        <row r="73">
          <cell r="D73" t="str">
            <v/>
          </cell>
          <cell r="E73">
            <v>17</v>
          </cell>
          <cell r="F73">
            <v>18</v>
          </cell>
          <cell r="G73" t="str">
            <v/>
          </cell>
          <cell r="H73" t="str">
            <v/>
          </cell>
          <cell r="I73">
            <v>18</v>
          </cell>
          <cell r="J73" t="str">
            <v/>
          </cell>
          <cell r="K73" t="str">
            <v/>
          </cell>
          <cell r="L73">
            <v>19</v>
          </cell>
          <cell r="M73">
            <v>17</v>
          </cell>
          <cell r="N73" t="str">
            <v/>
          </cell>
          <cell r="O73" t="str">
            <v/>
          </cell>
          <cell r="P73">
            <v>19</v>
          </cell>
          <cell r="Q73">
            <v>19</v>
          </cell>
          <cell r="R73">
            <v>18</v>
          </cell>
          <cell r="S73">
            <v>16</v>
          </cell>
          <cell r="T73">
            <v>18</v>
          </cell>
          <cell r="U73" t="str">
            <v/>
          </cell>
          <cell r="V73" t="str">
            <v/>
          </cell>
          <cell r="W73">
            <v>18</v>
          </cell>
          <cell r="X73">
            <v>17</v>
          </cell>
          <cell r="Y73">
            <v>19</v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>
            <v>17</v>
          </cell>
          <cell r="AE73" t="str">
            <v/>
          </cell>
          <cell r="AF73" t="str">
            <v/>
          </cell>
          <cell r="AG73">
            <v>16</v>
          </cell>
          <cell r="AH73">
            <v>21</v>
          </cell>
        </row>
        <row r="74">
          <cell r="D74" t="str">
            <v/>
          </cell>
          <cell r="E74">
            <v>18</v>
          </cell>
          <cell r="F74">
            <v>19</v>
          </cell>
          <cell r="G74" t="str">
            <v/>
          </cell>
          <cell r="H74" t="str">
            <v/>
          </cell>
          <cell r="I74">
            <v>19</v>
          </cell>
          <cell r="J74">
            <v>18</v>
          </cell>
          <cell r="K74" t="str">
            <v/>
          </cell>
          <cell r="L74" t="str">
            <v/>
          </cell>
          <cell r="M74">
            <v>18</v>
          </cell>
          <cell r="N74" t="str">
            <v/>
          </cell>
          <cell r="O74" t="str">
            <v/>
          </cell>
          <cell r="P74">
            <v>20</v>
          </cell>
          <cell r="Q74">
            <v>20</v>
          </cell>
          <cell r="R74">
            <v>19</v>
          </cell>
          <cell r="S74">
            <v>17</v>
          </cell>
          <cell r="T74">
            <v>19</v>
          </cell>
          <cell r="U74" t="str">
            <v/>
          </cell>
          <cell r="V74" t="str">
            <v/>
          </cell>
          <cell r="W74">
            <v>19</v>
          </cell>
          <cell r="X74">
            <v>18</v>
          </cell>
          <cell r="Y74">
            <v>20</v>
          </cell>
          <cell r="Z74">
            <v>18</v>
          </cell>
          <cell r="AA74">
            <v>17</v>
          </cell>
          <cell r="AB74" t="str">
            <v/>
          </cell>
          <cell r="AC74" t="str">
            <v/>
          </cell>
          <cell r="AD74">
            <v>18</v>
          </cell>
          <cell r="AE74">
            <v>17</v>
          </cell>
          <cell r="AF74">
            <v>17</v>
          </cell>
          <cell r="AG74" t="str">
            <v/>
          </cell>
          <cell r="AH74">
            <v>22</v>
          </cell>
        </row>
        <row r="75">
          <cell r="D75" t="str">
            <v/>
          </cell>
          <cell r="E75">
            <v>19</v>
          </cell>
          <cell r="F75">
            <v>20</v>
          </cell>
          <cell r="G75" t="str">
            <v/>
          </cell>
          <cell r="H75" t="str">
            <v/>
          </cell>
          <cell r="I75">
            <v>20</v>
          </cell>
          <cell r="J75">
            <v>19</v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>
            <v>21</v>
          </cell>
          <cell r="Q75">
            <v>21</v>
          </cell>
          <cell r="R75">
            <v>20</v>
          </cell>
          <cell r="S75">
            <v>18</v>
          </cell>
          <cell r="T75">
            <v>20</v>
          </cell>
          <cell r="U75" t="str">
            <v/>
          </cell>
          <cell r="V75" t="str">
            <v/>
          </cell>
          <cell r="W75">
            <v>20</v>
          </cell>
          <cell r="X75">
            <v>19</v>
          </cell>
          <cell r="Y75" t="str">
            <v/>
          </cell>
          <cell r="Z75" t="str">
            <v/>
          </cell>
          <cell r="AA75">
            <v>18</v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  <cell r="AF75">
            <v>18</v>
          </cell>
          <cell r="AG75">
            <v>17</v>
          </cell>
          <cell r="AH75">
            <v>23</v>
          </cell>
        </row>
        <row r="76">
          <cell r="D76" t="str">
            <v/>
          </cell>
          <cell r="E76">
            <v>20</v>
          </cell>
          <cell r="F76">
            <v>21</v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>
            <v>19</v>
          </cell>
          <cell r="L76">
            <v>20</v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>
            <v>21</v>
          </cell>
          <cell r="S76">
            <v>19</v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>
            <v>20</v>
          </cell>
          <cell r="Y76">
            <v>21</v>
          </cell>
          <cell r="Z76">
            <v>19</v>
          </cell>
          <cell r="AA76">
            <v>19</v>
          </cell>
          <cell r="AB76" t="str">
            <v/>
          </cell>
          <cell r="AC76" t="str">
            <v/>
          </cell>
          <cell r="AD76">
            <v>19</v>
          </cell>
          <cell r="AE76">
            <v>18</v>
          </cell>
          <cell r="AF76">
            <v>19</v>
          </cell>
          <cell r="AG76">
            <v>18</v>
          </cell>
          <cell r="AH76">
            <v>24</v>
          </cell>
        </row>
        <row r="77">
          <cell r="D77" t="str">
            <v/>
          </cell>
          <cell r="E77">
            <v>21</v>
          </cell>
          <cell r="F77">
            <v>22</v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>
            <v>20</v>
          </cell>
          <cell r="L77">
            <v>21</v>
          </cell>
          <cell r="M77">
            <v>19</v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>
            <v>22</v>
          </cell>
          <cell r="S77">
            <v>20</v>
          </cell>
          <cell r="T77">
            <v>21</v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>
            <v>22</v>
          </cell>
          <cell r="Z77">
            <v>20</v>
          </cell>
          <cell r="AA77">
            <v>20</v>
          </cell>
          <cell r="AB77" t="str">
            <v/>
          </cell>
          <cell r="AC77" t="str">
            <v/>
          </cell>
          <cell r="AD77">
            <v>20</v>
          </cell>
          <cell r="AE77">
            <v>19</v>
          </cell>
          <cell r="AF77">
            <v>20</v>
          </cell>
          <cell r="AG77">
            <v>19</v>
          </cell>
          <cell r="AH77">
            <v>25</v>
          </cell>
        </row>
        <row r="78">
          <cell r="D78" t="str">
            <v/>
          </cell>
          <cell r="E78">
            <v>22</v>
          </cell>
          <cell r="F78">
            <v>23</v>
          </cell>
          <cell r="G78" t="str">
            <v/>
          </cell>
          <cell r="H78" t="str">
            <v/>
          </cell>
          <cell r="I78">
            <v>21</v>
          </cell>
          <cell r="J78">
            <v>20</v>
          </cell>
          <cell r="K78">
            <v>21</v>
          </cell>
          <cell r="L78">
            <v>22</v>
          </cell>
          <cell r="M78">
            <v>20</v>
          </cell>
          <cell r="N78" t="str">
            <v/>
          </cell>
          <cell r="O78" t="str">
            <v/>
          </cell>
          <cell r="P78">
            <v>22</v>
          </cell>
          <cell r="Q78" t="str">
            <v/>
          </cell>
          <cell r="R78" t="str">
            <v/>
          </cell>
          <cell r="S78">
            <v>21</v>
          </cell>
          <cell r="T78">
            <v>22</v>
          </cell>
          <cell r="U78" t="str">
            <v/>
          </cell>
          <cell r="V78" t="str">
            <v/>
          </cell>
          <cell r="W78">
            <v>21</v>
          </cell>
          <cell r="X78">
            <v>21</v>
          </cell>
          <cell r="Y78" t="str">
            <v/>
          </cell>
          <cell r="Z78" t="str">
            <v/>
          </cell>
          <cell r="AA78">
            <v>21</v>
          </cell>
          <cell r="AB78" t="str">
            <v/>
          </cell>
          <cell r="AC78" t="str">
            <v/>
          </cell>
          <cell r="AD78">
            <v>21</v>
          </cell>
          <cell r="AE78">
            <v>20</v>
          </cell>
          <cell r="AF78">
            <v>21</v>
          </cell>
          <cell r="AG78">
            <v>20</v>
          </cell>
          <cell r="AH78">
            <v>26</v>
          </cell>
        </row>
        <row r="79"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>
            <v>22</v>
          </cell>
          <cell r="J79">
            <v>21</v>
          </cell>
          <cell r="K79">
            <v>22</v>
          </cell>
          <cell r="L79">
            <v>23</v>
          </cell>
          <cell r="M79">
            <v>21</v>
          </cell>
          <cell r="N79" t="str">
            <v/>
          </cell>
          <cell r="O79" t="str">
            <v/>
          </cell>
          <cell r="P79">
            <v>23</v>
          </cell>
          <cell r="Q79">
            <v>22</v>
          </cell>
          <cell r="R79">
            <v>23</v>
          </cell>
          <cell r="S79">
            <v>22</v>
          </cell>
          <cell r="T79">
            <v>23</v>
          </cell>
          <cell r="U79" t="str">
            <v/>
          </cell>
          <cell r="V79" t="str">
            <v/>
          </cell>
          <cell r="W79" t="str">
            <v/>
          </cell>
          <cell r="X79">
            <v>22</v>
          </cell>
          <cell r="Y79">
            <v>23</v>
          </cell>
          <cell r="Z79">
            <v>21</v>
          </cell>
          <cell r="AA79">
            <v>22</v>
          </cell>
          <cell r="AB79" t="str">
            <v/>
          </cell>
          <cell r="AC79" t="str">
            <v/>
          </cell>
          <cell r="AD79">
            <v>22</v>
          </cell>
          <cell r="AE79">
            <v>21</v>
          </cell>
          <cell r="AF79">
            <v>22</v>
          </cell>
          <cell r="AG79">
            <v>21</v>
          </cell>
          <cell r="AH79">
            <v>27</v>
          </cell>
        </row>
        <row r="80">
          <cell r="D80" t="str">
            <v/>
          </cell>
          <cell r="E80">
            <v>23</v>
          </cell>
          <cell r="F80">
            <v>24</v>
          </cell>
          <cell r="G80" t="str">
            <v/>
          </cell>
          <cell r="H80" t="str">
            <v/>
          </cell>
          <cell r="I80" t="str">
            <v/>
          </cell>
          <cell r="J80">
            <v>22</v>
          </cell>
          <cell r="K80">
            <v>23</v>
          </cell>
          <cell r="L80">
            <v>24</v>
          </cell>
          <cell r="M80">
            <v>22</v>
          </cell>
          <cell r="N80" t="str">
            <v/>
          </cell>
          <cell r="O80" t="str">
            <v/>
          </cell>
          <cell r="P80">
            <v>24</v>
          </cell>
          <cell r="Q80">
            <v>23</v>
          </cell>
          <cell r="R80">
            <v>24</v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>
            <v>22</v>
          </cell>
          <cell r="X80">
            <v>23</v>
          </cell>
          <cell r="Y80">
            <v>24</v>
          </cell>
          <cell r="Z80">
            <v>22</v>
          </cell>
          <cell r="AA80">
            <v>23</v>
          </cell>
          <cell r="AB80" t="str">
            <v/>
          </cell>
          <cell r="AC80" t="str">
            <v/>
          </cell>
          <cell r="AD80">
            <v>23</v>
          </cell>
          <cell r="AE80">
            <v>22</v>
          </cell>
          <cell r="AF80">
            <v>23</v>
          </cell>
          <cell r="AG80">
            <v>22</v>
          </cell>
          <cell r="AH80">
            <v>28</v>
          </cell>
        </row>
        <row r="81">
          <cell r="D81" t="str">
            <v/>
          </cell>
          <cell r="E81">
            <v>24</v>
          </cell>
          <cell r="F81">
            <v>25</v>
          </cell>
          <cell r="G81" t="str">
            <v/>
          </cell>
          <cell r="H81" t="str">
            <v/>
          </cell>
          <cell r="I81">
            <v>23</v>
          </cell>
          <cell r="J81">
            <v>23</v>
          </cell>
          <cell r="K81">
            <v>24</v>
          </cell>
          <cell r="L81">
            <v>25</v>
          </cell>
          <cell r="M81">
            <v>23</v>
          </cell>
          <cell r="N81" t="str">
            <v/>
          </cell>
          <cell r="O81" t="str">
            <v/>
          </cell>
          <cell r="P81">
            <v>25</v>
          </cell>
          <cell r="Q81">
            <v>24</v>
          </cell>
          <cell r="R81">
            <v>25</v>
          </cell>
          <cell r="S81">
            <v>23</v>
          </cell>
          <cell r="T81" t="str">
            <v/>
          </cell>
          <cell r="U81" t="str">
            <v/>
          </cell>
          <cell r="V81" t="str">
            <v/>
          </cell>
          <cell r="W81">
            <v>23</v>
          </cell>
          <cell r="X81">
            <v>24</v>
          </cell>
          <cell r="Y81">
            <v>25</v>
          </cell>
          <cell r="Z81" t="str">
            <v/>
          </cell>
          <cell r="AA81">
            <v>24</v>
          </cell>
          <cell r="AB81" t="str">
            <v/>
          </cell>
          <cell r="AC81" t="str">
            <v/>
          </cell>
          <cell r="AD81" t="str">
            <v/>
          </cell>
          <cell r="AE81">
            <v>23</v>
          </cell>
          <cell r="AF81">
            <v>24</v>
          </cell>
          <cell r="AG81">
            <v>23</v>
          </cell>
          <cell r="AH81">
            <v>29</v>
          </cell>
        </row>
        <row r="82">
          <cell r="D82" t="str">
            <v/>
          </cell>
          <cell r="E82">
            <v>25</v>
          </cell>
          <cell r="F82">
            <v>26</v>
          </cell>
          <cell r="G82" t="str">
            <v/>
          </cell>
          <cell r="H82" t="str">
            <v/>
          </cell>
          <cell r="I82">
            <v>24</v>
          </cell>
          <cell r="J82">
            <v>24</v>
          </cell>
          <cell r="K82">
            <v>25</v>
          </cell>
          <cell r="L82">
            <v>26</v>
          </cell>
          <cell r="M82">
            <v>24</v>
          </cell>
          <cell r="N82" t="str">
            <v/>
          </cell>
          <cell r="O82" t="str">
            <v/>
          </cell>
          <cell r="P82" t="str">
            <v/>
          </cell>
          <cell r="Q82">
            <v>25</v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>
            <v>24</v>
          </cell>
          <cell r="X82">
            <v>25</v>
          </cell>
          <cell r="Y82">
            <v>26</v>
          </cell>
          <cell r="Z82">
            <v>23</v>
          </cell>
          <cell r="AA82" t="str">
            <v/>
          </cell>
          <cell r="AB82" t="str">
            <v/>
          </cell>
          <cell r="AC82" t="str">
            <v/>
          </cell>
          <cell r="AD82">
            <v>24</v>
          </cell>
          <cell r="AE82">
            <v>24</v>
          </cell>
          <cell r="AF82" t="str">
            <v/>
          </cell>
          <cell r="AG82">
            <v>24</v>
          </cell>
          <cell r="AH82">
            <v>30</v>
          </cell>
        </row>
        <row r="83"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>
            <v>25</v>
          </cell>
          <cell r="J83">
            <v>25</v>
          </cell>
          <cell r="K83" t="str">
            <v/>
          </cell>
          <cell r="L83" t="str">
            <v/>
          </cell>
          <cell r="M83">
            <v>25</v>
          </cell>
          <cell r="N83" t="str">
            <v/>
          </cell>
          <cell r="O83" t="str">
            <v/>
          </cell>
          <cell r="P83">
            <v>26</v>
          </cell>
          <cell r="Q83">
            <v>26</v>
          </cell>
          <cell r="R83">
            <v>26</v>
          </cell>
          <cell r="S83">
            <v>24</v>
          </cell>
          <cell r="T83">
            <v>24</v>
          </cell>
          <cell r="U83" t="str">
            <v/>
          </cell>
          <cell r="V83" t="str">
            <v/>
          </cell>
          <cell r="W83">
            <v>25</v>
          </cell>
          <cell r="X83" t="str">
            <v/>
          </cell>
          <cell r="Y83" t="str">
            <v/>
          </cell>
          <cell r="Z83">
            <v>24</v>
          </cell>
          <cell r="AA83">
            <v>25</v>
          </cell>
          <cell r="AB83" t="str">
            <v/>
          </cell>
          <cell r="AC83" t="str">
            <v/>
          </cell>
          <cell r="AD83">
            <v>25</v>
          </cell>
          <cell r="AE83">
            <v>25</v>
          </cell>
          <cell r="AF83" t="str">
            <v/>
          </cell>
          <cell r="AG83" t="str">
            <v/>
          </cell>
          <cell r="AH83">
            <v>31</v>
          </cell>
        </row>
        <row r="84">
          <cell r="D84" t="str">
            <v/>
          </cell>
          <cell r="E84">
            <v>26</v>
          </cell>
          <cell r="F84" t="str">
            <v/>
          </cell>
          <cell r="G84" t="str">
            <v/>
          </cell>
          <cell r="H84" t="str">
            <v/>
          </cell>
          <cell r="I84">
            <v>26</v>
          </cell>
          <cell r="J84">
            <v>26</v>
          </cell>
          <cell r="K84" t="str">
            <v/>
          </cell>
          <cell r="L84">
            <v>27</v>
          </cell>
          <cell r="M84">
            <v>26</v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>
            <v>27</v>
          </cell>
          <cell r="S84">
            <v>25</v>
          </cell>
          <cell r="T84">
            <v>25</v>
          </cell>
          <cell r="U84" t="str">
            <v/>
          </cell>
          <cell r="V84" t="str">
            <v/>
          </cell>
          <cell r="W84">
            <v>26</v>
          </cell>
          <cell r="X84">
            <v>26</v>
          </cell>
          <cell r="Y84">
            <v>27</v>
          </cell>
          <cell r="Z84">
            <v>25</v>
          </cell>
          <cell r="AA84">
            <v>26</v>
          </cell>
          <cell r="AB84" t="str">
            <v/>
          </cell>
          <cell r="AC84" t="str">
            <v/>
          </cell>
          <cell r="AD84">
            <v>26</v>
          </cell>
          <cell r="AE84">
            <v>26</v>
          </cell>
          <cell r="AF84">
            <v>25</v>
          </cell>
          <cell r="AG84">
            <v>25</v>
          </cell>
          <cell r="AH84">
            <v>32</v>
          </cell>
        </row>
        <row r="85">
          <cell r="D85" t="str">
            <v/>
          </cell>
          <cell r="E85">
            <v>27</v>
          </cell>
          <cell r="F85">
            <v>27</v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>
            <v>26</v>
          </cell>
          <cell r="L85">
            <v>28</v>
          </cell>
          <cell r="M85">
            <v>27</v>
          </cell>
          <cell r="N85" t="str">
            <v/>
          </cell>
          <cell r="O85" t="str">
            <v/>
          </cell>
          <cell r="P85">
            <v>27</v>
          </cell>
          <cell r="Q85">
            <v>27</v>
          </cell>
          <cell r="R85">
            <v>28</v>
          </cell>
          <cell r="S85">
            <v>26</v>
          </cell>
          <cell r="T85">
            <v>26</v>
          </cell>
          <cell r="U85" t="str">
            <v/>
          </cell>
          <cell r="V85" t="str">
            <v/>
          </cell>
          <cell r="W85">
            <v>27</v>
          </cell>
          <cell r="X85">
            <v>27</v>
          </cell>
          <cell r="Y85" t="str">
            <v/>
          </cell>
          <cell r="Z85">
            <v>26</v>
          </cell>
          <cell r="AA85">
            <v>27</v>
          </cell>
          <cell r="AB85" t="str">
            <v/>
          </cell>
          <cell r="AC85" t="str">
            <v/>
          </cell>
          <cell r="AD85">
            <v>27</v>
          </cell>
          <cell r="AE85">
            <v>27</v>
          </cell>
          <cell r="AF85">
            <v>26</v>
          </cell>
          <cell r="AG85">
            <v>26</v>
          </cell>
          <cell r="AH85">
            <v>33</v>
          </cell>
        </row>
        <row r="86">
          <cell r="D86" t="str">
            <v/>
          </cell>
          <cell r="E86">
            <v>28</v>
          </cell>
          <cell r="F86">
            <v>28</v>
          </cell>
          <cell r="G86" t="str">
            <v/>
          </cell>
          <cell r="H86" t="str">
            <v/>
          </cell>
          <cell r="I86">
            <v>27</v>
          </cell>
          <cell r="J86">
            <v>27</v>
          </cell>
          <cell r="K86">
            <v>27</v>
          </cell>
          <cell r="L86">
            <v>29</v>
          </cell>
          <cell r="M86">
            <v>28</v>
          </cell>
          <cell r="N86" t="str">
            <v/>
          </cell>
          <cell r="O86" t="str">
            <v/>
          </cell>
          <cell r="P86">
            <v>28</v>
          </cell>
          <cell r="Q86">
            <v>28</v>
          </cell>
          <cell r="R86">
            <v>29</v>
          </cell>
          <cell r="S86">
            <v>27</v>
          </cell>
          <cell r="T86">
            <v>27</v>
          </cell>
          <cell r="U86" t="str">
            <v/>
          </cell>
          <cell r="V86" t="str">
            <v/>
          </cell>
          <cell r="W86">
            <v>28</v>
          </cell>
          <cell r="X86">
            <v>28</v>
          </cell>
          <cell r="Y86">
            <v>28</v>
          </cell>
          <cell r="Z86">
            <v>27</v>
          </cell>
          <cell r="AA86">
            <v>28</v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  <cell r="AF86">
            <v>27</v>
          </cell>
          <cell r="AG86">
            <v>27</v>
          </cell>
          <cell r="AH86">
            <v>34</v>
          </cell>
        </row>
        <row r="87">
          <cell r="D87" t="str">
            <v/>
          </cell>
          <cell r="E87">
            <v>29</v>
          </cell>
          <cell r="F87">
            <v>29</v>
          </cell>
          <cell r="G87" t="str">
            <v/>
          </cell>
          <cell r="H87" t="str">
            <v/>
          </cell>
          <cell r="I87">
            <v>28</v>
          </cell>
          <cell r="J87">
            <v>28</v>
          </cell>
          <cell r="K87">
            <v>28</v>
          </cell>
          <cell r="L87">
            <v>30</v>
          </cell>
          <cell r="M87">
            <v>29</v>
          </cell>
          <cell r="N87" t="str">
            <v/>
          </cell>
          <cell r="O87" t="str">
            <v/>
          </cell>
          <cell r="P87">
            <v>29</v>
          </cell>
          <cell r="Q87">
            <v>29</v>
          </cell>
          <cell r="R87">
            <v>30</v>
          </cell>
          <cell r="S87">
            <v>28</v>
          </cell>
          <cell r="T87">
            <v>28</v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>
            <v>29</v>
          </cell>
          <cell r="Z87">
            <v>28</v>
          </cell>
          <cell r="AA87">
            <v>29</v>
          </cell>
          <cell r="AB87" t="str">
            <v/>
          </cell>
          <cell r="AC87" t="str">
            <v/>
          </cell>
          <cell r="AD87">
            <v>28</v>
          </cell>
          <cell r="AE87">
            <v>28</v>
          </cell>
          <cell r="AF87">
            <v>28</v>
          </cell>
          <cell r="AG87">
            <v>28</v>
          </cell>
          <cell r="AH87">
            <v>35</v>
          </cell>
        </row>
        <row r="88">
          <cell r="D88" t="str">
            <v/>
          </cell>
          <cell r="E88">
            <v>30</v>
          </cell>
          <cell r="F88">
            <v>30</v>
          </cell>
          <cell r="G88" t="str">
            <v/>
          </cell>
          <cell r="H88" t="str">
            <v/>
          </cell>
          <cell r="I88">
            <v>29</v>
          </cell>
          <cell r="J88">
            <v>29</v>
          </cell>
          <cell r="K88">
            <v>29</v>
          </cell>
          <cell r="L88">
            <v>31</v>
          </cell>
          <cell r="M88">
            <v>30</v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>
            <v>31</v>
          </cell>
          <cell r="S88">
            <v>29</v>
          </cell>
          <cell r="T88">
            <v>29</v>
          </cell>
          <cell r="U88" t="str">
            <v/>
          </cell>
          <cell r="V88" t="str">
            <v/>
          </cell>
          <cell r="W88">
            <v>29</v>
          </cell>
          <cell r="X88">
            <v>29</v>
          </cell>
          <cell r="Y88">
            <v>30</v>
          </cell>
          <cell r="Z88">
            <v>29</v>
          </cell>
          <cell r="AA88">
            <v>30</v>
          </cell>
          <cell r="AB88" t="str">
            <v/>
          </cell>
          <cell r="AC88" t="str">
            <v/>
          </cell>
          <cell r="AD88">
            <v>29</v>
          </cell>
          <cell r="AE88">
            <v>29</v>
          </cell>
          <cell r="AF88">
            <v>29</v>
          </cell>
          <cell r="AG88">
            <v>29</v>
          </cell>
          <cell r="AH88">
            <v>36</v>
          </cell>
        </row>
        <row r="89"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>
            <v>30</v>
          </cell>
          <cell r="J89">
            <v>30</v>
          </cell>
          <cell r="K89">
            <v>30</v>
          </cell>
          <cell r="L89">
            <v>32</v>
          </cell>
          <cell r="M89">
            <v>31</v>
          </cell>
          <cell r="N89" t="str">
            <v/>
          </cell>
          <cell r="O89" t="str">
            <v/>
          </cell>
          <cell r="P89">
            <v>30</v>
          </cell>
          <cell r="Q89">
            <v>30</v>
          </cell>
          <cell r="R89">
            <v>32</v>
          </cell>
          <cell r="S89">
            <v>30</v>
          </cell>
          <cell r="T89">
            <v>30</v>
          </cell>
          <cell r="U89" t="str">
            <v/>
          </cell>
          <cell r="V89" t="str">
            <v/>
          </cell>
          <cell r="W89">
            <v>30</v>
          </cell>
          <cell r="X89">
            <v>30</v>
          </cell>
          <cell r="Y89">
            <v>31</v>
          </cell>
          <cell r="Z89">
            <v>30</v>
          </cell>
          <cell r="AA89">
            <v>31</v>
          </cell>
          <cell r="AB89" t="str">
            <v/>
          </cell>
          <cell r="AC89" t="str">
            <v/>
          </cell>
          <cell r="AD89">
            <v>30</v>
          </cell>
          <cell r="AE89">
            <v>30</v>
          </cell>
          <cell r="AF89">
            <v>30</v>
          </cell>
          <cell r="AG89">
            <v>30</v>
          </cell>
          <cell r="AH89">
            <v>37</v>
          </cell>
        </row>
        <row r="90"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  <cell r="AF90" t="str">
            <v/>
          </cell>
          <cell r="AG90" t="str">
            <v/>
          </cell>
          <cell r="AH90">
            <v>38</v>
          </cell>
        </row>
        <row r="91"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  <cell r="AF91" t="str">
            <v/>
          </cell>
          <cell r="AG91" t="str">
            <v/>
          </cell>
          <cell r="AH91">
            <v>39</v>
          </cell>
        </row>
        <row r="92"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  <cell r="AF92" t="str">
            <v/>
          </cell>
          <cell r="AG92" t="str">
            <v/>
          </cell>
          <cell r="AH92">
            <v>40</v>
          </cell>
        </row>
        <row r="93"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  <cell r="AF93" t="str">
            <v/>
          </cell>
          <cell r="AG93" t="str">
            <v/>
          </cell>
          <cell r="AH93">
            <v>41</v>
          </cell>
        </row>
        <row r="94">
          <cell r="D94" t="str">
            <v/>
          </cell>
          <cell r="E94">
            <v>31</v>
          </cell>
          <cell r="F94">
            <v>31</v>
          </cell>
          <cell r="G94" t="str">
            <v/>
          </cell>
          <cell r="H94" t="str">
            <v/>
          </cell>
          <cell r="I94">
            <v>31</v>
          </cell>
          <cell r="J94">
            <v>31</v>
          </cell>
          <cell r="K94">
            <v>31</v>
          </cell>
          <cell r="L94">
            <v>33</v>
          </cell>
          <cell r="M94">
            <v>32</v>
          </cell>
          <cell r="N94" t="str">
            <v/>
          </cell>
          <cell r="O94" t="str">
            <v/>
          </cell>
          <cell r="P94">
            <v>31</v>
          </cell>
          <cell r="Q94">
            <v>31</v>
          </cell>
          <cell r="R94">
            <v>33</v>
          </cell>
          <cell r="S94">
            <v>31</v>
          </cell>
          <cell r="T94">
            <v>31</v>
          </cell>
          <cell r="U94" t="str">
            <v/>
          </cell>
          <cell r="V94" t="str">
            <v/>
          </cell>
          <cell r="W94">
            <v>31</v>
          </cell>
          <cell r="X94">
            <v>31</v>
          </cell>
          <cell r="Y94">
            <v>32</v>
          </cell>
          <cell r="Z94">
            <v>31</v>
          </cell>
          <cell r="AA94">
            <v>32</v>
          </cell>
          <cell r="AB94" t="str">
            <v/>
          </cell>
          <cell r="AC94" t="str">
            <v/>
          </cell>
          <cell r="AD94">
            <v>31</v>
          </cell>
          <cell r="AE94">
            <v>31</v>
          </cell>
          <cell r="AF94">
            <v>31</v>
          </cell>
          <cell r="AG94">
            <v>31</v>
          </cell>
          <cell r="AH94">
            <v>42</v>
          </cell>
        </row>
        <row r="95">
          <cell r="D95" t="str">
            <v/>
          </cell>
          <cell r="E95">
            <v>32</v>
          </cell>
          <cell r="F95">
            <v>32</v>
          </cell>
          <cell r="G95" t="str">
            <v/>
          </cell>
          <cell r="H95" t="str">
            <v/>
          </cell>
          <cell r="I95">
            <v>32</v>
          </cell>
          <cell r="J95">
            <v>32</v>
          </cell>
          <cell r="K95">
            <v>32</v>
          </cell>
          <cell r="L95">
            <v>34</v>
          </cell>
          <cell r="M95">
            <v>33</v>
          </cell>
          <cell r="N95" t="str">
            <v/>
          </cell>
          <cell r="O95" t="str">
            <v/>
          </cell>
          <cell r="P95">
            <v>32</v>
          </cell>
          <cell r="Q95">
            <v>32</v>
          </cell>
          <cell r="R95">
            <v>34</v>
          </cell>
          <cell r="S95">
            <v>32</v>
          </cell>
          <cell r="T95">
            <v>32</v>
          </cell>
          <cell r="U95" t="str">
            <v/>
          </cell>
          <cell r="V95" t="str">
            <v/>
          </cell>
          <cell r="W95">
            <v>32</v>
          </cell>
          <cell r="X95">
            <v>32</v>
          </cell>
          <cell r="Y95">
            <v>33</v>
          </cell>
          <cell r="Z95">
            <v>32</v>
          </cell>
          <cell r="AA95">
            <v>33</v>
          </cell>
          <cell r="AB95" t="str">
            <v/>
          </cell>
          <cell r="AC95" t="str">
            <v/>
          </cell>
          <cell r="AD95">
            <v>32</v>
          </cell>
          <cell r="AE95">
            <v>32</v>
          </cell>
          <cell r="AF95">
            <v>32</v>
          </cell>
          <cell r="AG95">
            <v>32</v>
          </cell>
          <cell r="AH95">
            <v>43</v>
          </cell>
        </row>
        <row r="96"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  <cell r="AF96" t="str">
            <v/>
          </cell>
          <cell r="AG96" t="str">
            <v/>
          </cell>
          <cell r="AH96">
            <v>44</v>
          </cell>
        </row>
        <row r="97"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  <cell r="AF97" t="str">
            <v/>
          </cell>
          <cell r="AG97" t="str">
            <v/>
          </cell>
          <cell r="AH97" t="str">
            <v/>
          </cell>
        </row>
        <row r="98"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</row>
        <row r="99"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</row>
        <row r="100"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  <cell r="T100" t="str">
            <v/>
          </cell>
          <cell r="U100" t="str">
            <v/>
          </cell>
          <cell r="V100" t="str">
            <v/>
          </cell>
          <cell r="W100" t="str">
            <v/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</row>
        <row r="101"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  <cell r="T101" t="str">
            <v/>
          </cell>
          <cell r="U101" t="str">
            <v/>
          </cell>
          <cell r="V101" t="str">
            <v/>
          </cell>
          <cell r="W101" t="str">
            <v/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  <cell r="AB101" t="str">
            <v/>
          </cell>
          <cell r="AC101" t="str">
            <v/>
          </cell>
          <cell r="AD101" t="str">
            <v/>
          </cell>
          <cell r="AE101" t="str">
            <v/>
          </cell>
          <cell r="AF101" t="str">
            <v/>
          </cell>
          <cell r="AG101" t="str">
            <v/>
          </cell>
          <cell r="AH101" t="str">
            <v/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D1">
            <v>43800</v>
          </cell>
          <cell r="E1">
            <v>43801</v>
          </cell>
          <cell r="F1">
            <v>43802</v>
          </cell>
          <cell r="G1">
            <v>43803</v>
          </cell>
          <cell r="H1">
            <v>43804</v>
          </cell>
          <cell r="I1">
            <v>43805</v>
          </cell>
          <cell r="J1">
            <v>43806</v>
          </cell>
          <cell r="K1">
            <v>43807</v>
          </cell>
          <cell r="L1">
            <v>43808</v>
          </cell>
          <cell r="M1">
            <v>43809</v>
          </cell>
          <cell r="N1">
            <v>43810</v>
          </cell>
          <cell r="O1">
            <v>43811</v>
          </cell>
          <cell r="P1">
            <v>43812</v>
          </cell>
          <cell r="Q1">
            <v>43813</v>
          </cell>
          <cell r="R1">
            <v>43814</v>
          </cell>
          <cell r="S1">
            <v>43815</v>
          </cell>
          <cell r="T1">
            <v>43816</v>
          </cell>
          <cell r="U1">
            <v>43817</v>
          </cell>
          <cell r="V1">
            <v>43818</v>
          </cell>
          <cell r="W1">
            <v>43819</v>
          </cell>
          <cell r="X1">
            <v>43820</v>
          </cell>
          <cell r="Y1">
            <v>43821</v>
          </cell>
          <cell r="Z1">
            <v>43822</v>
          </cell>
          <cell r="AA1">
            <v>43823</v>
          </cell>
          <cell r="AB1">
            <v>43824</v>
          </cell>
          <cell r="AC1">
            <v>43825</v>
          </cell>
          <cell r="AD1">
            <v>43826</v>
          </cell>
          <cell r="AE1">
            <v>43827</v>
          </cell>
          <cell r="AF1">
            <v>43828</v>
          </cell>
          <cell r="AG1">
            <v>43829</v>
          </cell>
          <cell r="AH1">
            <v>43830</v>
          </cell>
        </row>
        <row r="2">
          <cell r="D2">
            <v>43800</v>
          </cell>
          <cell r="E2">
            <v>43801</v>
          </cell>
          <cell r="F2">
            <v>43802</v>
          </cell>
          <cell r="G2">
            <v>43803</v>
          </cell>
          <cell r="H2">
            <v>43804</v>
          </cell>
          <cell r="I2">
            <v>43805</v>
          </cell>
          <cell r="J2">
            <v>43806</v>
          </cell>
          <cell r="K2">
            <v>43807</v>
          </cell>
          <cell r="L2">
            <v>43808</v>
          </cell>
          <cell r="M2">
            <v>43809</v>
          </cell>
          <cell r="N2">
            <v>43810</v>
          </cell>
          <cell r="O2">
            <v>43811</v>
          </cell>
          <cell r="P2">
            <v>43812</v>
          </cell>
          <cell r="Q2">
            <v>43813</v>
          </cell>
          <cell r="R2">
            <v>43814</v>
          </cell>
          <cell r="S2">
            <v>43815</v>
          </cell>
          <cell r="T2">
            <v>43816</v>
          </cell>
          <cell r="U2">
            <v>43817</v>
          </cell>
          <cell r="V2">
            <v>43818</v>
          </cell>
          <cell r="W2">
            <v>43819</v>
          </cell>
          <cell r="X2">
            <v>43820</v>
          </cell>
          <cell r="Y2">
            <v>43821</v>
          </cell>
          <cell r="Z2">
            <v>43822</v>
          </cell>
          <cell r="AA2">
            <v>43823</v>
          </cell>
          <cell r="AB2">
            <v>43824</v>
          </cell>
          <cell r="AC2">
            <v>43825</v>
          </cell>
          <cell r="AD2">
            <v>43826</v>
          </cell>
          <cell r="AE2">
            <v>43827</v>
          </cell>
          <cell r="AF2">
            <v>43828</v>
          </cell>
          <cell r="AG2">
            <v>43829</v>
          </cell>
          <cell r="AH2">
            <v>43830</v>
          </cell>
        </row>
        <row r="3">
          <cell r="D3" t="str">
            <v>中村</v>
          </cell>
          <cell r="E3" t="str">
            <v>南</v>
          </cell>
          <cell r="F3" t="str">
            <v>庵</v>
          </cell>
          <cell r="G3" t="str">
            <v>中村</v>
          </cell>
          <cell r="H3" t="str">
            <v>山村</v>
          </cell>
          <cell r="I3" t="str">
            <v>平田恵</v>
          </cell>
          <cell r="J3" t="str">
            <v>中村</v>
          </cell>
          <cell r="K3" t="str">
            <v>山下</v>
          </cell>
          <cell r="L3" t="str">
            <v>大橋</v>
          </cell>
          <cell r="M3" t="str">
            <v>山本</v>
          </cell>
          <cell r="N3" t="str">
            <v>山田</v>
          </cell>
          <cell r="O3" t="str">
            <v>南</v>
          </cell>
          <cell r="P3" t="str">
            <v>佐藤恵</v>
          </cell>
          <cell r="Q3" t="str">
            <v>村崎</v>
          </cell>
          <cell r="R3" t="str">
            <v>中井</v>
          </cell>
          <cell r="S3" t="str">
            <v>黒田辰</v>
          </cell>
          <cell r="T3" t="str">
            <v>齊藤</v>
          </cell>
          <cell r="U3" t="str">
            <v>清水</v>
          </cell>
          <cell r="V3" t="str">
            <v>林</v>
          </cell>
          <cell r="W3" t="str">
            <v>澤野</v>
          </cell>
          <cell r="X3" t="str">
            <v>黒田辰</v>
          </cell>
          <cell r="Y3" t="str">
            <v>山下</v>
          </cell>
          <cell r="Z3" t="str">
            <v>山村</v>
          </cell>
          <cell r="AA3" t="str">
            <v>大橋</v>
          </cell>
          <cell r="AB3" t="str">
            <v>山本</v>
          </cell>
          <cell r="AC3" t="str">
            <v>長田</v>
          </cell>
          <cell r="AD3" t="str">
            <v>南</v>
          </cell>
          <cell r="AE3" t="str">
            <v>林</v>
          </cell>
          <cell r="AF3" t="str">
            <v>庵</v>
          </cell>
          <cell r="AG3" t="str">
            <v>大橋</v>
          </cell>
          <cell r="AH3" t="str">
            <v>澤野</v>
          </cell>
        </row>
        <row r="4">
          <cell r="D4" t="str">
            <v>佐藤恵</v>
          </cell>
          <cell r="E4" t="str">
            <v>齊藤</v>
          </cell>
          <cell r="F4" t="str">
            <v>加藤</v>
          </cell>
          <cell r="G4" t="str">
            <v>林</v>
          </cell>
          <cell r="H4" t="str">
            <v>澤野</v>
          </cell>
          <cell r="I4" t="str">
            <v>村崎</v>
          </cell>
          <cell r="J4" t="str">
            <v>佐藤穂</v>
          </cell>
          <cell r="K4" t="str">
            <v>加藤</v>
          </cell>
          <cell r="L4" t="str">
            <v>長迫</v>
          </cell>
          <cell r="M4" t="str">
            <v>田村</v>
          </cell>
          <cell r="N4" t="str">
            <v>長田</v>
          </cell>
          <cell r="O4" t="str">
            <v>薬司</v>
          </cell>
          <cell r="P4" t="str">
            <v>本田</v>
          </cell>
          <cell r="Q4" t="str">
            <v>加藤</v>
          </cell>
          <cell r="R4" t="str">
            <v>大橋</v>
          </cell>
          <cell r="S4" t="str">
            <v>庵</v>
          </cell>
          <cell r="T4" t="str">
            <v>佐藤穂</v>
          </cell>
          <cell r="U4" t="str">
            <v>本田</v>
          </cell>
          <cell r="V4" t="str">
            <v>村崎</v>
          </cell>
          <cell r="W4" t="str">
            <v>平田恵</v>
          </cell>
          <cell r="X4" t="str">
            <v>佐藤恵</v>
          </cell>
          <cell r="Y4" t="str">
            <v>田村</v>
          </cell>
          <cell r="Z4" t="str">
            <v>村崎</v>
          </cell>
          <cell r="AA4" t="str">
            <v>長迫</v>
          </cell>
          <cell r="AB4" t="str">
            <v>山田</v>
          </cell>
          <cell r="AC4" t="str">
            <v>薬司</v>
          </cell>
          <cell r="AD4" t="str">
            <v>加藤</v>
          </cell>
          <cell r="AE4" t="str">
            <v>田村</v>
          </cell>
          <cell r="AF4" t="str">
            <v>佐藤穂</v>
          </cell>
          <cell r="AG4" t="str">
            <v>黒田辰</v>
          </cell>
          <cell r="AH4" t="str">
            <v>清水</v>
          </cell>
        </row>
      </sheetData>
      <sheetData sheetId="8">
        <row r="1">
          <cell r="D1">
            <v>43800</v>
          </cell>
          <cell r="E1">
            <v>43801</v>
          </cell>
          <cell r="F1">
            <v>43802</v>
          </cell>
          <cell r="G1">
            <v>43803</v>
          </cell>
          <cell r="H1">
            <v>43804</v>
          </cell>
          <cell r="I1">
            <v>43805</v>
          </cell>
          <cell r="J1">
            <v>43806</v>
          </cell>
          <cell r="K1">
            <v>43807</v>
          </cell>
          <cell r="L1">
            <v>43808</v>
          </cell>
          <cell r="M1">
            <v>43809</v>
          </cell>
          <cell r="N1">
            <v>43810</v>
          </cell>
          <cell r="O1">
            <v>43811</v>
          </cell>
          <cell r="P1">
            <v>43812</v>
          </cell>
          <cell r="Q1">
            <v>43813</v>
          </cell>
          <cell r="R1">
            <v>43814</v>
          </cell>
          <cell r="S1">
            <v>43815</v>
          </cell>
          <cell r="T1">
            <v>43816</v>
          </cell>
          <cell r="U1">
            <v>43817</v>
          </cell>
          <cell r="V1">
            <v>43818</v>
          </cell>
          <cell r="W1">
            <v>43819</v>
          </cell>
          <cell r="X1">
            <v>43820</v>
          </cell>
          <cell r="Y1">
            <v>43821</v>
          </cell>
          <cell r="Z1">
            <v>43822</v>
          </cell>
          <cell r="AA1">
            <v>43823</v>
          </cell>
          <cell r="AB1">
            <v>43824</v>
          </cell>
          <cell r="AC1">
            <v>43825</v>
          </cell>
          <cell r="AD1">
            <v>43826</v>
          </cell>
          <cell r="AE1">
            <v>43827</v>
          </cell>
          <cell r="AF1">
            <v>43828</v>
          </cell>
          <cell r="AG1">
            <v>43829</v>
          </cell>
          <cell r="AH1">
            <v>43830</v>
          </cell>
        </row>
        <row r="2">
          <cell r="D2">
            <v>43800</v>
          </cell>
          <cell r="E2">
            <v>43801</v>
          </cell>
          <cell r="F2">
            <v>43802</v>
          </cell>
          <cell r="G2">
            <v>43803</v>
          </cell>
          <cell r="H2">
            <v>43804</v>
          </cell>
          <cell r="I2">
            <v>43805</v>
          </cell>
          <cell r="J2">
            <v>43806</v>
          </cell>
          <cell r="K2">
            <v>43807</v>
          </cell>
          <cell r="L2">
            <v>43808</v>
          </cell>
          <cell r="M2">
            <v>43809</v>
          </cell>
          <cell r="N2">
            <v>43810</v>
          </cell>
          <cell r="O2">
            <v>43811</v>
          </cell>
          <cell r="P2">
            <v>43812</v>
          </cell>
          <cell r="Q2">
            <v>43813</v>
          </cell>
          <cell r="R2">
            <v>43814</v>
          </cell>
          <cell r="S2">
            <v>43815</v>
          </cell>
          <cell r="T2">
            <v>43816</v>
          </cell>
          <cell r="U2">
            <v>43817</v>
          </cell>
          <cell r="V2">
            <v>43818</v>
          </cell>
          <cell r="W2">
            <v>43819</v>
          </cell>
          <cell r="X2">
            <v>43820</v>
          </cell>
          <cell r="Y2">
            <v>43821</v>
          </cell>
          <cell r="Z2">
            <v>43822</v>
          </cell>
          <cell r="AA2">
            <v>43823</v>
          </cell>
          <cell r="AB2">
            <v>43824</v>
          </cell>
          <cell r="AC2">
            <v>43825</v>
          </cell>
          <cell r="AD2">
            <v>43826</v>
          </cell>
          <cell r="AE2">
            <v>43827</v>
          </cell>
          <cell r="AF2">
            <v>43828</v>
          </cell>
          <cell r="AG2">
            <v>43829</v>
          </cell>
          <cell r="AH2">
            <v>43830</v>
          </cell>
        </row>
        <row r="3">
          <cell r="D3" t="str">
            <v>宮崎</v>
          </cell>
          <cell r="E3" t="str">
            <v>清水</v>
          </cell>
          <cell r="F3" t="str">
            <v>南</v>
          </cell>
          <cell r="G3" t="str">
            <v>庵</v>
          </cell>
          <cell r="H3" t="str">
            <v>本田</v>
          </cell>
          <cell r="I3" t="str">
            <v>中井</v>
          </cell>
          <cell r="J3" t="str">
            <v>大畑</v>
          </cell>
          <cell r="K3" t="str">
            <v>宮崎</v>
          </cell>
          <cell r="L3" t="str">
            <v>村中</v>
          </cell>
          <cell r="M3" t="str">
            <v>山下</v>
          </cell>
          <cell r="N3" t="str">
            <v>中村</v>
          </cell>
          <cell r="O3" t="str">
            <v>大橋</v>
          </cell>
          <cell r="P3" t="str">
            <v>清水</v>
          </cell>
          <cell r="Q3" t="str">
            <v>大畑</v>
          </cell>
          <cell r="R3" t="str">
            <v>宮崎</v>
          </cell>
          <cell r="S3" t="str">
            <v>大橋</v>
          </cell>
          <cell r="T3" t="str">
            <v>平田真</v>
          </cell>
          <cell r="U3" t="str">
            <v>加藤</v>
          </cell>
          <cell r="V3" t="str">
            <v>黒田辰</v>
          </cell>
          <cell r="W3" t="str">
            <v>大橋</v>
          </cell>
          <cell r="X3" t="str">
            <v>大畑</v>
          </cell>
          <cell r="Y3" t="str">
            <v>宮崎</v>
          </cell>
          <cell r="Z3" t="str">
            <v>黒田辰</v>
          </cell>
          <cell r="AA3" t="str">
            <v>佐藤恵</v>
          </cell>
          <cell r="AB3" t="str">
            <v>山下</v>
          </cell>
          <cell r="AC3" t="str">
            <v>山村</v>
          </cell>
          <cell r="AD3" t="str">
            <v>澤野</v>
          </cell>
          <cell r="AE3" t="str">
            <v>大畑</v>
          </cell>
          <cell r="AF3" t="str">
            <v>宮崎</v>
          </cell>
          <cell r="AG3" t="str">
            <v>宮崎</v>
          </cell>
          <cell r="AH3" t="str">
            <v>宮崎</v>
          </cell>
        </row>
        <row r="4">
          <cell r="D4" t="str">
            <v>奥</v>
          </cell>
          <cell r="E4" t="str">
            <v>田村</v>
          </cell>
          <cell r="F4" t="str">
            <v>澤野</v>
          </cell>
          <cell r="G4" t="str">
            <v>佐藤穂</v>
          </cell>
          <cell r="H4" t="str">
            <v>大畑</v>
          </cell>
          <cell r="I4" t="str">
            <v>黒田辰</v>
          </cell>
          <cell r="J4" t="str">
            <v>谷口</v>
          </cell>
          <cell r="K4" t="str">
            <v>奥</v>
          </cell>
          <cell r="L4" t="str">
            <v>阪井田</v>
          </cell>
          <cell r="M4" t="str">
            <v>大橋</v>
          </cell>
          <cell r="N4" t="str">
            <v>加藤</v>
          </cell>
          <cell r="O4" t="str">
            <v>長迫</v>
          </cell>
          <cell r="P4" t="str">
            <v>黒田辰</v>
          </cell>
          <cell r="Q4" t="str">
            <v>谷口</v>
          </cell>
          <cell r="R4" t="str">
            <v>奥</v>
          </cell>
          <cell r="S4" t="str">
            <v>加藤</v>
          </cell>
          <cell r="T4" t="str">
            <v>村崎</v>
          </cell>
          <cell r="U4" t="str">
            <v>村中</v>
          </cell>
          <cell r="V4" t="str">
            <v>庵</v>
          </cell>
          <cell r="W4" t="str">
            <v>清水</v>
          </cell>
          <cell r="X4" t="str">
            <v>谷口</v>
          </cell>
          <cell r="Y4" t="str">
            <v>奥</v>
          </cell>
          <cell r="Z4" t="str">
            <v>村中</v>
          </cell>
          <cell r="AA4" t="str">
            <v>大畑</v>
          </cell>
          <cell r="AB4" t="str">
            <v>田村</v>
          </cell>
          <cell r="AC4" t="str">
            <v>大橋</v>
          </cell>
          <cell r="AD4" t="str">
            <v>平田恵</v>
          </cell>
          <cell r="AE4" t="str">
            <v>谷口</v>
          </cell>
          <cell r="AF4" t="str">
            <v>奥</v>
          </cell>
          <cell r="AG4" t="str">
            <v>奥</v>
          </cell>
          <cell r="AH4" t="str">
            <v>奥</v>
          </cell>
        </row>
        <row r="5">
          <cell r="D5" t="str">
            <v>山下</v>
          </cell>
          <cell r="E5" t="str">
            <v>佐藤恵</v>
          </cell>
          <cell r="F5" t="str">
            <v>齊藤</v>
          </cell>
          <cell r="G5" t="str">
            <v>村中</v>
          </cell>
          <cell r="H5" t="str">
            <v>谷口</v>
          </cell>
          <cell r="I5" t="str">
            <v>大畑</v>
          </cell>
          <cell r="J5" t="str">
            <v>村中</v>
          </cell>
          <cell r="K5" t="str">
            <v>山村</v>
          </cell>
          <cell r="L5" t="str">
            <v/>
          </cell>
          <cell r="M5" t="str">
            <v>平田恵</v>
          </cell>
          <cell r="N5" t="str">
            <v>村中</v>
          </cell>
          <cell r="O5" t="str">
            <v>佐藤穂</v>
          </cell>
          <cell r="P5" t="str">
            <v>大畑</v>
          </cell>
          <cell r="Q5" t="str">
            <v>村中</v>
          </cell>
          <cell r="R5" t="str">
            <v>山下</v>
          </cell>
          <cell r="S5" t="str">
            <v>村中</v>
          </cell>
          <cell r="T5" t="str">
            <v>大畑</v>
          </cell>
          <cell r="U5" t="str">
            <v>阪井田</v>
          </cell>
          <cell r="V5" t="str">
            <v>佐藤恵</v>
          </cell>
          <cell r="W5" t="str">
            <v>大畑</v>
          </cell>
          <cell r="X5" t="str">
            <v>村中</v>
          </cell>
          <cell r="Y5" t="str">
            <v>殿田</v>
          </cell>
          <cell r="Z5" t="str">
            <v>阪井田</v>
          </cell>
          <cell r="AA5" t="str">
            <v>谷口</v>
          </cell>
          <cell r="AB5" t="str">
            <v>村中</v>
          </cell>
          <cell r="AC5" t="str">
            <v>林</v>
          </cell>
          <cell r="AD5" t="str">
            <v>村崎</v>
          </cell>
          <cell r="AE5" t="str">
            <v>村中</v>
          </cell>
          <cell r="AF5" t="str">
            <v>山下</v>
          </cell>
          <cell r="AG5" t="str">
            <v>山下</v>
          </cell>
          <cell r="AH5" t="str">
            <v>山下</v>
          </cell>
        </row>
        <row r="6">
          <cell r="D6" t="str">
            <v>山村</v>
          </cell>
          <cell r="E6" t="str">
            <v>村中</v>
          </cell>
          <cell r="F6" t="str">
            <v>大畑</v>
          </cell>
          <cell r="G6" t="str">
            <v>阪井田</v>
          </cell>
          <cell r="H6" t="str">
            <v>村中</v>
          </cell>
          <cell r="I6" t="str">
            <v>谷口</v>
          </cell>
          <cell r="J6" t="str">
            <v>阪井田</v>
          </cell>
          <cell r="K6" t="str">
            <v>殿田</v>
          </cell>
          <cell r="L6" t="str">
            <v/>
          </cell>
          <cell r="M6" t="str">
            <v>大畑</v>
          </cell>
          <cell r="N6" t="str">
            <v>阪井田</v>
          </cell>
          <cell r="O6" t="str">
            <v>大畑</v>
          </cell>
          <cell r="P6" t="str">
            <v>村中</v>
          </cell>
          <cell r="Q6" t="str">
            <v>阪井田</v>
          </cell>
          <cell r="R6" t="str">
            <v>山村</v>
          </cell>
          <cell r="S6" t="str">
            <v>阪井田</v>
          </cell>
          <cell r="T6" t="str">
            <v>谷口</v>
          </cell>
          <cell r="U6" t="str">
            <v/>
          </cell>
          <cell r="V6" t="str">
            <v>大畑</v>
          </cell>
          <cell r="W6" t="str">
            <v>村中</v>
          </cell>
          <cell r="X6" t="str">
            <v>阪井田</v>
          </cell>
          <cell r="Y6" t="str">
            <v>森本</v>
          </cell>
          <cell r="Z6" t="str">
            <v/>
          </cell>
          <cell r="AA6" t="str">
            <v>村中</v>
          </cell>
          <cell r="AB6" t="str">
            <v>阪井田</v>
          </cell>
          <cell r="AC6" t="str">
            <v>大畑</v>
          </cell>
          <cell r="AD6" t="str">
            <v>大畑</v>
          </cell>
          <cell r="AE6" t="str">
            <v>阪井田</v>
          </cell>
          <cell r="AF6" t="str">
            <v>山村</v>
          </cell>
          <cell r="AG6" t="str">
            <v>山村</v>
          </cell>
          <cell r="AH6" t="str">
            <v>山村</v>
          </cell>
        </row>
        <row r="7">
          <cell r="D7" t="str">
            <v>殿田</v>
          </cell>
          <cell r="E7" t="str">
            <v>阪井田</v>
          </cell>
          <cell r="F7" t="str">
            <v>谷口</v>
          </cell>
          <cell r="G7" t="str">
            <v/>
          </cell>
          <cell r="H7" t="str">
            <v>阪井田</v>
          </cell>
          <cell r="I7" t="str">
            <v>村中</v>
          </cell>
          <cell r="J7" t="str">
            <v>木田</v>
          </cell>
          <cell r="K7" t="str">
            <v>森本</v>
          </cell>
          <cell r="L7" t="str">
            <v/>
          </cell>
          <cell r="M7" t="str">
            <v>谷口</v>
          </cell>
          <cell r="N7" t="str">
            <v/>
          </cell>
          <cell r="O7" t="str">
            <v>谷口</v>
          </cell>
          <cell r="P7" t="str">
            <v>阪井田</v>
          </cell>
          <cell r="Q7" t="str">
            <v>木田</v>
          </cell>
          <cell r="R7" t="str">
            <v>殿田</v>
          </cell>
          <cell r="S7" t="str">
            <v/>
          </cell>
          <cell r="T7" t="str">
            <v>村中</v>
          </cell>
          <cell r="U7" t="str">
            <v/>
          </cell>
          <cell r="V7" t="str">
            <v>谷口</v>
          </cell>
          <cell r="W7" t="str">
            <v>阪井田</v>
          </cell>
          <cell r="X7" t="str">
            <v>木田</v>
          </cell>
          <cell r="Y7" t="str">
            <v>中井</v>
          </cell>
          <cell r="Z7" t="str">
            <v/>
          </cell>
          <cell r="AA7" t="str">
            <v/>
          </cell>
          <cell r="AB7" t="str">
            <v/>
          </cell>
          <cell r="AC7" t="str">
            <v>谷口</v>
          </cell>
          <cell r="AD7" t="str">
            <v>村中</v>
          </cell>
          <cell r="AE7" t="str">
            <v>木田</v>
          </cell>
          <cell r="AF7" t="str">
            <v>殿田</v>
          </cell>
          <cell r="AG7" t="str">
            <v>殿田</v>
          </cell>
          <cell r="AH7" t="str">
            <v>殿田</v>
          </cell>
        </row>
        <row r="8">
          <cell r="D8" t="str">
            <v>森本</v>
          </cell>
          <cell r="E8" t="str">
            <v/>
          </cell>
          <cell r="F8" t="str">
            <v>村中</v>
          </cell>
          <cell r="G8" t="str">
            <v/>
          </cell>
          <cell r="H8" t="str">
            <v/>
          </cell>
          <cell r="I8" t="str">
            <v>阪井田</v>
          </cell>
          <cell r="J8" t="str">
            <v/>
          </cell>
          <cell r="K8" t="str">
            <v>中井</v>
          </cell>
          <cell r="L8" t="str">
            <v/>
          </cell>
          <cell r="M8" t="str">
            <v>村中</v>
          </cell>
          <cell r="N8" t="str">
            <v/>
          </cell>
          <cell r="O8" t="str">
            <v>村中</v>
          </cell>
          <cell r="P8" t="str">
            <v/>
          </cell>
          <cell r="Q8" t="str">
            <v/>
          </cell>
          <cell r="R8" t="str">
            <v>森本</v>
          </cell>
          <cell r="S8" t="str">
            <v/>
          </cell>
          <cell r="T8" t="str">
            <v/>
          </cell>
          <cell r="U8" t="str">
            <v/>
          </cell>
          <cell r="V8" t="str">
            <v>村中</v>
          </cell>
          <cell r="W8" t="str">
            <v/>
          </cell>
          <cell r="X8" t="str">
            <v/>
          </cell>
          <cell r="Y8" t="str">
            <v>北</v>
          </cell>
          <cell r="Z8" t="str">
            <v/>
          </cell>
          <cell r="AA8" t="str">
            <v/>
          </cell>
          <cell r="AB8" t="str">
            <v/>
          </cell>
          <cell r="AC8" t="str">
            <v>村中</v>
          </cell>
          <cell r="AD8" t="str">
            <v/>
          </cell>
          <cell r="AE8" t="str">
            <v/>
          </cell>
          <cell r="AF8" t="str">
            <v>森本</v>
          </cell>
          <cell r="AG8" t="str">
            <v>森本</v>
          </cell>
          <cell r="AH8" t="str">
            <v>森本</v>
          </cell>
        </row>
        <row r="9">
          <cell r="D9" t="str">
            <v>中井</v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>北</v>
          </cell>
          <cell r="L9" t="str">
            <v/>
          </cell>
          <cell r="M9" t="str">
            <v/>
          </cell>
          <cell r="N9" t="str">
            <v/>
          </cell>
          <cell r="O9" t="str">
            <v>阪井田</v>
          </cell>
          <cell r="P9" t="str">
            <v/>
          </cell>
          <cell r="Q9" t="str">
            <v/>
          </cell>
          <cell r="R9" t="str">
            <v>北</v>
          </cell>
          <cell r="S9" t="str">
            <v/>
          </cell>
          <cell r="T9" t="str">
            <v/>
          </cell>
          <cell r="U9" t="str">
            <v/>
          </cell>
          <cell r="V9" t="str">
            <v>阪井田</v>
          </cell>
          <cell r="W9" t="str">
            <v/>
          </cell>
          <cell r="X9" t="str">
            <v/>
          </cell>
          <cell r="Y9" t="str">
            <v>中村</v>
          </cell>
          <cell r="Z9" t="str">
            <v/>
          </cell>
          <cell r="AA9" t="str">
            <v/>
          </cell>
          <cell r="AB9" t="str">
            <v/>
          </cell>
          <cell r="AC9" t="str">
            <v>阪井田</v>
          </cell>
          <cell r="AD9" t="str">
            <v/>
          </cell>
          <cell r="AE9" t="str">
            <v/>
          </cell>
          <cell r="AF9" t="str">
            <v>中井</v>
          </cell>
          <cell r="AG9" t="str">
            <v>中井</v>
          </cell>
          <cell r="AH9" t="str">
            <v>中井</v>
          </cell>
        </row>
        <row r="10">
          <cell r="D10" t="str">
            <v>北</v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>中村</v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>中村</v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>大橋</v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>北</v>
          </cell>
          <cell r="AG10" t="str">
            <v>北</v>
          </cell>
          <cell r="AH10" t="str">
            <v>北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D1">
            <v>43831</v>
          </cell>
          <cell r="E1">
            <v>43832</v>
          </cell>
          <cell r="F1">
            <v>43833</v>
          </cell>
          <cell r="G1">
            <v>43834</v>
          </cell>
          <cell r="H1">
            <v>43835</v>
          </cell>
          <cell r="I1">
            <v>43836</v>
          </cell>
          <cell r="J1">
            <v>43837</v>
          </cell>
          <cell r="K1">
            <v>43838</v>
          </cell>
          <cell r="L1">
            <v>43839</v>
          </cell>
          <cell r="M1">
            <v>43840</v>
          </cell>
          <cell r="N1">
            <v>43841</v>
          </cell>
          <cell r="O1">
            <v>43842</v>
          </cell>
          <cell r="P1">
            <v>43843</v>
          </cell>
          <cell r="Q1">
            <v>43844</v>
          </cell>
          <cell r="R1">
            <v>43845</v>
          </cell>
          <cell r="S1">
            <v>43846</v>
          </cell>
          <cell r="T1">
            <v>43847</v>
          </cell>
          <cell r="U1">
            <v>43848</v>
          </cell>
          <cell r="V1">
            <v>43849</v>
          </cell>
          <cell r="W1">
            <v>43850</v>
          </cell>
          <cell r="X1">
            <v>43851</v>
          </cell>
          <cell r="Y1">
            <v>43852</v>
          </cell>
          <cell r="Z1">
            <v>43853</v>
          </cell>
          <cell r="AA1">
            <v>43854</v>
          </cell>
          <cell r="AB1">
            <v>43855</v>
          </cell>
          <cell r="AC1">
            <v>43856</v>
          </cell>
          <cell r="AD1">
            <v>43857</v>
          </cell>
          <cell r="AE1">
            <v>43858</v>
          </cell>
          <cell r="AF1">
            <v>43859</v>
          </cell>
          <cell r="AG1">
            <v>43860</v>
          </cell>
          <cell r="AH1">
            <v>43861</v>
          </cell>
        </row>
        <row r="2">
          <cell r="D2">
            <v>43831</v>
          </cell>
          <cell r="E2">
            <v>43832</v>
          </cell>
          <cell r="F2">
            <v>43833</v>
          </cell>
          <cell r="G2">
            <v>43834</v>
          </cell>
          <cell r="H2">
            <v>43835</v>
          </cell>
          <cell r="I2">
            <v>43836</v>
          </cell>
          <cell r="J2">
            <v>43837</v>
          </cell>
          <cell r="K2">
            <v>43838</v>
          </cell>
          <cell r="L2">
            <v>43839</v>
          </cell>
          <cell r="M2">
            <v>43840</v>
          </cell>
          <cell r="N2">
            <v>43841</v>
          </cell>
          <cell r="O2">
            <v>43842</v>
          </cell>
          <cell r="P2">
            <v>43843</v>
          </cell>
          <cell r="Q2">
            <v>43844</v>
          </cell>
          <cell r="R2">
            <v>43845</v>
          </cell>
          <cell r="S2">
            <v>43846</v>
          </cell>
          <cell r="T2">
            <v>43847</v>
          </cell>
          <cell r="U2">
            <v>43848</v>
          </cell>
          <cell r="V2">
            <v>43849</v>
          </cell>
          <cell r="W2">
            <v>43850</v>
          </cell>
          <cell r="X2">
            <v>43851</v>
          </cell>
          <cell r="Y2">
            <v>43852</v>
          </cell>
          <cell r="Z2">
            <v>43853</v>
          </cell>
          <cell r="AA2">
            <v>43854</v>
          </cell>
          <cell r="AB2">
            <v>43855</v>
          </cell>
          <cell r="AC2">
            <v>43856</v>
          </cell>
          <cell r="AD2">
            <v>43857</v>
          </cell>
          <cell r="AE2">
            <v>43858</v>
          </cell>
          <cell r="AF2">
            <v>43859</v>
          </cell>
          <cell r="AG2">
            <v>43860</v>
          </cell>
          <cell r="AH2">
            <v>43861</v>
          </cell>
        </row>
        <row r="3">
          <cell r="D3" t="str">
            <v>平田恵</v>
          </cell>
          <cell r="E3" t="str">
            <v>大橋</v>
          </cell>
          <cell r="F3" t="str">
            <v>山本</v>
          </cell>
          <cell r="G3" t="str">
            <v>長田</v>
          </cell>
          <cell r="H3" t="str">
            <v>村崎</v>
          </cell>
          <cell r="I3" t="str">
            <v>山下</v>
          </cell>
          <cell r="J3" t="str">
            <v>南</v>
          </cell>
          <cell r="K3" t="str">
            <v>田村</v>
          </cell>
          <cell r="L3" t="str">
            <v>中村</v>
          </cell>
          <cell r="M3" t="str">
            <v>佐藤恵</v>
          </cell>
          <cell r="N3" t="str">
            <v>清水</v>
          </cell>
          <cell r="O3" t="str">
            <v>山村</v>
          </cell>
          <cell r="P3" t="str">
            <v>南</v>
          </cell>
          <cell r="Q3" t="str">
            <v>村崎</v>
          </cell>
          <cell r="R3" t="str">
            <v>山下</v>
          </cell>
          <cell r="S3" t="str">
            <v>澤野</v>
          </cell>
          <cell r="T3" t="str">
            <v>中井</v>
          </cell>
          <cell r="U3" t="str">
            <v>平田真</v>
          </cell>
          <cell r="V3" t="str">
            <v>長迫</v>
          </cell>
          <cell r="W3" t="str">
            <v>山本</v>
          </cell>
          <cell r="X3" t="str">
            <v>齊藤</v>
          </cell>
          <cell r="Y3" t="str">
            <v>中村</v>
          </cell>
          <cell r="Z3" t="str">
            <v>大橋</v>
          </cell>
          <cell r="AA3" t="str">
            <v>中井</v>
          </cell>
          <cell r="AB3" t="str">
            <v>長迫</v>
          </cell>
          <cell r="AC3" t="str">
            <v>大橋</v>
          </cell>
          <cell r="AD3" t="str">
            <v>平田恵</v>
          </cell>
          <cell r="AE3" t="str">
            <v>山本</v>
          </cell>
          <cell r="AF3" t="str">
            <v>中村</v>
          </cell>
          <cell r="AG3" t="str">
            <v>山下</v>
          </cell>
          <cell r="AH3" t="str">
            <v>清水</v>
          </cell>
        </row>
        <row r="4">
          <cell r="D4" t="str">
            <v>佐藤恵</v>
          </cell>
          <cell r="E4" t="str">
            <v>山田</v>
          </cell>
          <cell r="F4" t="str">
            <v>田村</v>
          </cell>
          <cell r="G4" t="str">
            <v>庵</v>
          </cell>
          <cell r="H4" t="str">
            <v>薬司</v>
          </cell>
          <cell r="I4" t="str">
            <v>本田</v>
          </cell>
          <cell r="J4" t="str">
            <v>齊藤</v>
          </cell>
          <cell r="K4" t="str">
            <v>佐藤穂</v>
          </cell>
          <cell r="L4" t="str">
            <v>大橋</v>
          </cell>
          <cell r="M4" t="str">
            <v>村崎</v>
          </cell>
          <cell r="N4" t="str">
            <v>平田恵</v>
          </cell>
          <cell r="O4" t="str">
            <v>大橋</v>
          </cell>
          <cell r="P4" t="str">
            <v>黒田辰</v>
          </cell>
          <cell r="Q4" t="str">
            <v>薬司</v>
          </cell>
          <cell r="R4" t="str">
            <v>加藤</v>
          </cell>
          <cell r="S4" t="str">
            <v>山田</v>
          </cell>
          <cell r="T4" t="str">
            <v>清水</v>
          </cell>
          <cell r="U4" t="str">
            <v>庵</v>
          </cell>
          <cell r="V4" t="str">
            <v>田村</v>
          </cell>
          <cell r="W4" t="str">
            <v>長田</v>
          </cell>
          <cell r="X4" t="str">
            <v>村崎</v>
          </cell>
          <cell r="Y4" t="str">
            <v>佐藤穂</v>
          </cell>
          <cell r="Z4" t="str">
            <v>佐藤恵</v>
          </cell>
          <cell r="AA4" t="str">
            <v>黒田辰</v>
          </cell>
          <cell r="AB4" t="str">
            <v>田村</v>
          </cell>
          <cell r="AC4" t="str">
            <v>澤野</v>
          </cell>
          <cell r="AD4" t="str">
            <v>村崎</v>
          </cell>
          <cell r="AE4" t="str">
            <v>黒田辰</v>
          </cell>
          <cell r="AF4" t="str">
            <v>南</v>
          </cell>
          <cell r="AG4" t="str">
            <v>村崎</v>
          </cell>
          <cell r="AH4" t="str">
            <v>庵</v>
          </cell>
        </row>
      </sheetData>
      <sheetData sheetId="8">
        <row r="1">
          <cell r="D1">
            <v>43831</v>
          </cell>
          <cell r="E1">
            <v>43832</v>
          </cell>
          <cell r="F1">
            <v>43833</v>
          </cell>
          <cell r="G1">
            <v>43834</v>
          </cell>
          <cell r="H1">
            <v>43835</v>
          </cell>
          <cell r="I1">
            <v>43836</v>
          </cell>
          <cell r="J1">
            <v>43837</v>
          </cell>
          <cell r="K1">
            <v>43838</v>
          </cell>
          <cell r="L1">
            <v>43839</v>
          </cell>
          <cell r="M1">
            <v>43840</v>
          </cell>
          <cell r="N1">
            <v>43841</v>
          </cell>
          <cell r="O1">
            <v>43842</v>
          </cell>
          <cell r="P1">
            <v>43843</v>
          </cell>
          <cell r="Q1">
            <v>43844</v>
          </cell>
          <cell r="R1">
            <v>43845</v>
          </cell>
          <cell r="S1">
            <v>43846</v>
          </cell>
          <cell r="T1">
            <v>43847</v>
          </cell>
          <cell r="U1">
            <v>43848</v>
          </cell>
          <cell r="V1">
            <v>43849</v>
          </cell>
          <cell r="W1">
            <v>43850</v>
          </cell>
          <cell r="X1">
            <v>43851</v>
          </cell>
          <cell r="Y1">
            <v>43852</v>
          </cell>
          <cell r="Z1">
            <v>43853</v>
          </cell>
          <cell r="AA1">
            <v>43854</v>
          </cell>
          <cell r="AB1">
            <v>43855</v>
          </cell>
          <cell r="AC1">
            <v>43856</v>
          </cell>
          <cell r="AD1">
            <v>43857</v>
          </cell>
          <cell r="AE1">
            <v>43858</v>
          </cell>
          <cell r="AF1">
            <v>43859</v>
          </cell>
          <cell r="AG1">
            <v>43860</v>
          </cell>
          <cell r="AH1">
            <v>43861</v>
          </cell>
        </row>
        <row r="2">
          <cell r="D2">
            <v>43831</v>
          </cell>
          <cell r="E2">
            <v>43832</v>
          </cell>
          <cell r="F2">
            <v>43833</v>
          </cell>
          <cell r="G2">
            <v>43834</v>
          </cell>
          <cell r="H2">
            <v>43835</v>
          </cell>
          <cell r="I2">
            <v>43836</v>
          </cell>
          <cell r="J2">
            <v>43837</v>
          </cell>
          <cell r="K2">
            <v>43838</v>
          </cell>
          <cell r="L2">
            <v>43839</v>
          </cell>
          <cell r="M2">
            <v>43840</v>
          </cell>
          <cell r="N2">
            <v>43841</v>
          </cell>
          <cell r="O2">
            <v>43842</v>
          </cell>
          <cell r="P2">
            <v>43843</v>
          </cell>
          <cell r="Q2">
            <v>43844</v>
          </cell>
          <cell r="R2">
            <v>43845</v>
          </cell>
          <cell r="S2">
            <v>43846</v>
          </cell>
          <cell r="T2">
            <v>43847</v>
          </cell>
          <cell r="U2">
            <v>43848</v>
          </cell>
          <cell r="V2">
            <v>43849</v>
          </cell>
          <cell r="W2">
            <v>43850</v>
          </cell>
          <cell r="X2">
            <v>43851</v>
          </cell>
          <cell r="Y2">
            <v>43852</v>
          </cell>
          <cell r="Z2">
            <v>43853</v>
          </cell>
          <cell r="AA2">
            <v>43854</v>
          </cell>
          <cell r="AB2">
            <v>43855</v>
          </cell>
          <cell r="AC2">
            <v>43856</v>
          </cell>
          <cell r="AD2">
            <v>43857</v>
          </cell>
          <cell r="AE2">
            <v>43858</v>
          </cell>
          <cell r="AF2">
            <v>43859</v>
          </cell>
          <cell r="AG2">
            <v>43860</v>
          </cell>
          <cell r="AH2">
            <v>43861</v>
          </cell>
        </row>
        <row r="3">
          <cell r="D3" t="str">
            <v>宮崎</v>
          </cell>
          <cell r="E3" t="str">
            <v>宮崎</v>
          </cell>
          <cell r="F3" t="str">
            <v>宮崎</v>
          </cell>
          <cell r="G3" t="str">
            <v>大畑</v>
          </cell>
          <cell r="H3" t="str">
            <v>宮崎</v>
          </cell>
          <cell r="I3" t="str">
            <v>山田</v>
          </cell>
          <cell r="J3" t="str">
            <v>澤野</v>
          </cell>
          <cell r="K3" t="str">
            <v>山本</v>
          </cell>
          <cell r="L3" t="str">
            <v>山本</v>
          </cell>
          <cell r="M3" t="str">
            <v>中村</v>
          </cell>
          <cell r="N3" t="str">
            <v>大畑</v>
          </cell>
          <cell r="O3" t="str">
            <v>宮崎</v>
          </cell>
          <cell r="P3" t="str">
            <v>宮崎</v>
          </cell>
          <cell r="Q3" t="str">
            <v>南</v>
          </cell>
          <cell r="R3" t="str">
            <v>長田</v>
          </cell>
          <cell r="S3" t="str">
            <v>大橋</v>
          </cell>
          <cell r="T3" t="str">
            <v>山下</v>
          </cell>
          <cell r="U3" t="str">
            <v>大畑</v>
          </cell>
          <cell r="V3" t="str">
            <v>宮崎</v>
          </cell>
          <cell r="W3" t="str">
            <v>大橋</v>
          </cell>
          <cell r="X3" t="str">
            <v>大橋</v>
          </cell>
          <cell r="Y3" t="str">
            <v>山本</v>
          </cell>
          <cell r="Z3" t="str">
            <v>南</v>
          </cell>
          <cell r="AA3" t="str">
            <v>山村</v>
          </cell>
          <cell r="AB3" t="str">
            <v>大畑</v>
          </cell>
          <cell r="AC3" t="str">
            <v>宮崎</v>
          </cell>
          <cell r="AD3" t="str">
            <v>山村</v>
          </cell>
          <cell r="AE3" t="str">
            <v>長迫</v>
          </cell>
          <cell r="AF3" t="str">
            <v>黒田辰</v>
          </cell>
          <cell r="AG3" t="str">
            <v>平田真</v>
          </cell>
          <cell r="AH3" t="str">
            <v>長田</v>
          </cell>
        </row>
        <row r="4">
          <cell r="D4" t="str">
            <v>奥</v>
          </cell>
          <cell r="E4" t="str">
            <v>奥</v>
          </cell>
          <cell r="F4" t="str">
            <v>奥</v>
          </cell>
          <cell r="G4" t="str">
            <v>谷口</v>
          </cell>
          <cell r="H4" t="str">
            <v>奥</v>
          </cell>
          <cell r="I4" t="str">
            <v>谷口</v>
          </cell>
          <cell r="J4" t="str">
            <v>山田</v>
          </cell>
          <cell r="K4" t="str">
            <v>山田</v>
          </cell>
          <cell r="L4" t="str">
            <v>田村</v>
          </cell>
          <cell r="M4" t="str">
            <v>山本</v>
          </cell>
          <cell r="N4" t="str">
            <v>谷口</v>
          </cell>
          <cell r="O4" t="str">
            <v>奥</v>
          </cell>
          <cell r="P4" t="str">
            <v>奥</v>
          </cell>
          <cell r="Q4" t="str">
            <v>平田恵</v>
          </cell>
          <cell r="R4" t="str">
            <v>庵</v>
          </cell>
          <cell r="S4" t="str">
            <v>黒田辰</v>
          </cell>
          <cell r="T4" t="str">
            <v>澤野</v>
          </cell>
          <cell r="U4" t="str">
            <v>谷口</v>
          </cell>
          <cell r="V4" t="str">
            <v>奥</v>
          </cell>
          <cell r="W4" t="str">
            <v>平田恵</v>
          </cell>
          <cell r="X4" t="str">
            <v>平田恵</v>
          </cell>
          <cell r="Y4" t="str">
            <v>田村</v>
          </cell>
          <cell r="Z4" t="str">
            <v>村崎</v>
          </cell>
          <cell r="AA4" t="str">
            <v>清水</v>
          </cell>
          <cell r="AB4" t="str">
            <v>谷口</v>
          </cell>
          <cell r="AC4" t="str">
            <v>奥</v>
          </cell>
          <cell r="AD4" t="str">
            <v>澤野</v>
          </cell>
          <cell r="AE4" t="str">
            <v>田村</v>
          </cell>
          <cell r="AF4" t="str">
            <v>庵</v>
          </cell>
          <cell r="AG4" t="str">
            <v>大橋</v>
          </cell>
          <cell r="AH4" t="str">
            <v>黒田辰</v>
          </cell>
        </row>
        <row r="5">
          <cell r="D5" t="str">
            <v>山下</v>
          </cell>
          <cell r="E5" t="str">
            <v>山下</v>
          </cell>
          <cell r="F5" t="str">
            <v>山下</v>
          </cell>
          <cell r="G5" t="str">
            <v>村中</v>
          </cell>
          <cell r="H5" t="str">
            <v>山村</v>
          </cell>
          <cell r="I5" t="str">
            <v>村中</v>
          </cell>
          <cell r="J5" t="str">
            <v>大畑</v>
          </cell>
          <cell r="K5" t="str">
            <v>村中</v>
          </cell>
          <cell r="L5" t="str">
            <v>大畑</v>
          </cell>
          <cell r="M5" t="str">
            <v>田村</v>
          </cell>
          <cell r="N5" t="str">
            <v>村中</v>
          </cell>
          <cell r="O5" t="str">
            <v>山下</v>
          </cell>
          <cell r="P5" t="str">
            <v>山下</v>
          </cell>
          <cell r="Q5" t="str">
            <v>長田</v>
          </cell>
          <cell r="R5" t="str">
            <v>村中</v>
          </cell>
          <cell r="S5" t="str">
            <v>村崎</v>
          </cell>
          <cell r="T5" t="str">
            <v>本田</v>
          </cell>
          <cell r="U5" t="str">
            <v>村中</v>
          </cell>
          <cell r="V5" t="str">
            <v>山下</v>
          </cell>
          <cell r="W5" t="str">
            <v>谷口</v>
          </cell>
          <cell r="X5" t="str">
            <v>長田</v>
          </cell>
          <cell r="Y5" t="str">
            <v>村中</v>
          </cell>
          <cell r="Z5" t="str">
            <v>薬司</v>
          </cell>
          <cell r="AA5" t="str">
            <v>大畑</v>
          </cell>
          <cell r="AB5" t="str">
            <v>村中</v>
          </cell>
          <cell r="AC5" t="str">
            <v>山下</v>
          </cell>
          <cell r="AD5" t="str">
            <v>齊藤</v>
          </cell>
          <cell r="AE5" t="str">
            <v>村崎</v>
          </cell>
          <cell r="AF5" t="str">
            <v>村中</v>
          </cell>
          <cell r="AG5" t="str">
            <v>長迫</v>
          </cell>
          <cell r="AH5" t="str">
            <v>佐藤恵</v>
          </cell>
        </row>
        <row r="6">
          <cell r="D6" t="str">
            <v>山村</v>
          </cell>
          <cell r="E6" t="str">
            <v>山村</v>
          </cell>
          <cell r="F6" t="str">
            <v>殿田</v>
          </cell>
          <cell r="G6" t="str">
            <v>阪井田</v>
          </cell>
          <cell r="H6" t="str">
            <v>殿田</v>
          </cell>
          <cell r="I6" t="str">
            <v/>
          </cell>
          <cell r="J6" t="str">
            <v>村中</v>
          </cell>
          <cell r="K6" t="str">
            <v>阪井田</v>
          </cell>
          <cell r="L6" t="str">
            <v>谷口</v>
          </cell>
          <cell r="M6" t="str">
            <v>大畑</v>
          </cell>
          <cell r="N6" t="str">
            <v>阪井田</v>
          </cell>
          <cell r="O6" t="str">
            <v>殿田</v>
          </cell>
          <cell r="P6" t="str">
            <v>山村</v>
          </cell>
          <cell r="Q6" t="str">
            <v>庵</v>
          </cell>
          <cell r="R6" t="str">
            <v>阪井田</v>
          </cell>
          <cell r="S6" t="str">
            <v>薬司</v>
          </cell>
          <cell r="T6" t="str">
            <v>大畑</v>
          </cell>
          <cell r="U6" t="str">
            <v>阪井田</v>
          </cell>
          <cell r="V6" t="str">
            <v>山村</v>
          </cell>
          <cell r="W6" t="str">
            <v>村中</v>
          </cell>
          <cell r="X6" t="str">
            <v>大畑</v>
          </cell>
          <cell r="Y6" t="str">
            <v>阪井田</v>
          </cell>
          <cell r="Z6" t="str">
            <v>大畑</v>
          </cell>
          <cell r="AA6" t="str">
            <v>村中</v>
          </cell>
          <cell r="AB6" t="str">
            <v>阪井田</v>
          </cell>
          <cell r="AC6" t="str">
            <v>山村</v>
          </cell>
          <cell r="AD6" t="str">
            <v>本田</v>
          </cell>
          <cell r="AE6" t="str">
            <v>大畑</v>
          </cell>
          <cell r="AF6" t="str">
            <v>阪井田</v>
          </cell>
          <cell r="AG6" t="str">
            <v>大畑</v>
          </cell>
          <cell r="AH6" t="str">
            <v>大畑</v>
          </cell>
        </row>
        <row r="7">
          <cell r="D7" t="str">
            <v>殿田</v>
          </cell>
          <cell r="E7" t="str">
            <v>殿田</v>
          </cell>
          <cell r="F7" t="str">
            <v>森本</v>
          </cell>
          <cell r="G7" t="str">
            <v>木田</v>
          </cell>
          <cell r="H7" t="str">
            <v>森本</v>
          </cell>
          <cell r="I7" t="str">
            <v/>
          </cell>
          <cell r="J7" t="str">
            <v>阪井田</v>
          </cell>
          <cell r="K7" t="str">
            <v/>
          </cell>
          <cell r="L7" t="str">
            <v>村中</v>
          </cell>
          <cell r="M7" t="str">
            <v>谷口</v>
          </cell>
          <cell r="N7" t="str">
            <v>木田</v>
          </cell>
          <cell r="O7" t="str">
            <v>森本</v>
          </cell>
          <cell r="P7" t="str">
            <v>殿田</v>
          </cell>
          <cell r="Q7" t="str">
            <v>大畑</v>
          </cell>
          <cell r="R7" t="str">
            <v/>
          </cell>
          <cell r="S7" t="str">
            <v>大畑</v>
          </cell>
          <cell r="T7" t="str">
            <v>村中</v>
          </cell>
          <cell r="U7" t="str">
            <v>木田</v>
          </cell>
          <cell r="V7" t="str">
            <v>殿田</v>
          </cell>
          <cell r="W7" t="str">
            <v>阪井田</v>
          </cell>
          <cell r="X7" t="str">
            <v>谷口</v>
          </cell>
          <cell r="Y7" t="str">
            <v/>
          </cell>
          <cell r="Z7" t="str">
            <v>谷口</v>
          </cell>
          <cell r="AA7" t="str">
            <v>阪井田</v>
          </cell>
          <cell r="AB7" t="str">
            <v>木田</v>
          </cell>
          <cell r="AC7" t="str">
            <v>殿田</v>
          </cell>
          <cell r="AD7" t="str">
            <v>村中</v>
          </cell>
          <cell r="AE7" t="str">
            <v>谷口</v>
          </cell>
          <cell r="AF7" t="str">
            <v/>
          </cell>
          <cell r="AG7" t="str">
            <v>谷口</v>
          </cell>
          <cell r="AH7" t="str">
            <v>村中</v>
          </cell>
        </row>
        <row r="8">
          <cell r="D8" t="str">
            <v>森本</v>
          </cell>
          <cell r="E8" t="str">
            <v>森本</v>
          </cell>
          <cell r="F8" t="str">
            <v>中井</v>
          </cell>
          <cell r="G8" t="str">
            <v/>
          </cell>
          <cell r="H8" t="str">
            <v>中井</v>
          </cell>
          <cell r="I8" t="str">
            <v/>
          </cell>
          <cell r="J8" t="str">
            <v/>
          </cell>
          <cell r="K8" t="str">
            <v/>
          </cell>
          <cell r="L8" t="str">
            <v>阪井田</v>
          </cell>
          <cell r="M8" t="str">
            <v>村中</v>
          </cell>
          <cell r="N8" t="str">
            <v/>
          </cell>
          <cell r="O8" t="str">
            <v>中井</v>
          </cell>
          <cell r="P8" t="str">
            <v>森本</v>
          </cell>
          <cell r="Q8" t="str">
            <v>谷口</v>
          </cell>
          <cell r="R8" t="str">
            <v/>
          </cell>
          <cell r="S8" t="str">
            <v>谷口</v>
          </cell>
          <cell r="T8" t="str">
            <v/>
          </cell>
          <cell r="U8" t="str">
            <v/>
          </cell>
          <cell r="V8" t="str">
            <v>森本</v>
          </cell>
          <cell r="W8" t="str">
            <v/>
          </cell>
          <cell r="X8" t="str">
            <v>村中</v>
          </cell>
          <cell r="Y8" t="str">
            <v/>
          </cell>
          <cell r="Z8" t="str">
            <v>村中</v>
          </cell>
          <cell r="AA8" t="str">
            <v/>
          </cell>
          <cell r="AB8" t="str">
            <v/>
          </cell>
          <cell r="AC8" t="str">
            <v>森本</v>
          </cell>
          <cell r="AD8" t="str">
            <v>阪井田</v>
          </cell>
          <cell r="AE8" t="str">
            <v>村中</v>
          </cell>
          <cell r="AF8" t="str">
            <v/>
          </cell>
          <cell r="AG8" t="str">
            <v>村中</v>
          </cell>
          <cell r="AH8" t="str">
            <v>阪井田</v>
          </cell>
        </row>
        <row r="9">
          <cell r="D9" t="str">
            <v>中井</v>
          </cell>
          <cell r="E9" t="str">
            <v>中井</v>
          </cell>
          <cell r="F9" t="str">
            <v>北</v>
          </cell>
          <cell r="G9" t="str">
            <v/>
          </cell>
          <cell r="H9" t="str">
            <v>北</v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>阪井田</v>
          </cell>
          <cell r="N9" t="str">
            <v/>
          </cell>
          <cell r="O9" t="str">
            <v>北</v>
          </cell>
          <cell r="P9" t="str">
            <v>中井</v>
          </cell>
          <cell r="Q9" t="str">
            <v>村中</v>
          </cell>
          <cell r="R9" t="str">
            <v/>
          </cell>
          <cell r="S9" t="str">
            <v>村中</v>
          </cell>
          <cell r="T9" t="str">
            <v/>
          </cell>
          <cell r="U9" t="str">
            <v/>
          </cell>
          <cell r="V9" t="str">
            <v>中井</v>
          </cell>
          <cell r="W9" t="str">
            <v/>
          </cell>
          <cell r="X9" t="str">
            <v/>
          </cell>
          <cell r="Y9" t="str">
            <v/>
          </cell>
          <cell r="Z9" t="str">
            <v>阪井田</v>
          </cell>
          <cell r="AA9" t="str">
            <v/>
          </cell>
          <cell r="AB9" t="str">
            <v/>
          </cell>
          <cell r="AC9" t="str">
            <v>中井</v>
          </cell>
          <cell r="AD9" t="str">
            <v/>
          </cell>
          <cell r="AE9" t="str">
            <v>阪井田</v>
          </cell>
          <cell r="AF9" t="str">
            <v/>
          </cell>
          <cell r="AG9" t="str">
            <v>阪井田</v>
          </cell>
          <cell r="AH9" t="str">
            <v/>
          </cell>
        </row>
        <row r="10">
          <cell r="D10" t="str">
            <v>北</v>
          </cell>
          <cell r="E10" t="str">
            <v>北</v>
          </cell>
          <cell r="F10" t="str">
            <v>中村</v>
          </cell>
          <cell r="G10" t="str">
            <v/>
          </cell>
          <cell r="H10" t="str">
            <v>中村</v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>中村</v>
          </cell>
          <cell r="P10" t="str">
            <v>北</v>
          </cell>
          <cell r="Q10" t="str">
            <v>阪井田</v>
          </cell>
          <cell r="R10" t="str">
            <v/>
          </cell>
          <cell r="S10" t="str">
            <v>阪井田</v>
          </cell>
          <cell r="T10" t="str">
            <v/>
          </cell>
          <cell r="U10" t="str">
            <v/>
          </cell>
          <cell r="V10" t="str">
            <v>北</v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>北</v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D1">
            <v>43862</v>
          </cell>
          <cell r="E1">
            <v>43863</v>
          </cell>
          <cell r="F1">
            <v>43864</v>
          </cell>
          <cell r="G1">
            <v>43865</v>
          </cell>
          <cell r="H1">
            <v>43866</v>
          </cell>
          <cell r="I1">
            <v>43867</v>
          </cell>
          <cell r="J1">
            <v>43868</v>
          </cell>
          <cell r="K1">
            <v>43869</v>
          </cell>
          <cell r="L1">
            <v>43870</v>
          </cell>
          <cell r="M1">
            <v>43871</v>
          </cell>
          <cell r="N1">
            <v>43872</v>
          </cell>
          <cell r="O1">
            <v>43873</v>
          </cell>
          <cell r="P1">
            <v>43874</v>
          </cell>
          <cell r="Q1">
            <v>43875</v>
          </cell>
          <cell r="R1">
            <v>43876</v>
          </cell>
          <cell r="S1">
            <v>43877</v>
          </cell>
          <cell r="T1">
            <v>43878</v>
          </cell>
          <cell r="U1">
            <v>43879</v>
          </cell>
          <cell r="V1">
            <v>43880</v>
          </cell>
          <cell r="W1">
            <v>43881</v>
          </cell>
          <cell r="X1">
            <v>43882</v>
          </cell>
          <cell r="Y1">
            <v>43883</v>
          </cell>
          <cell r="Z1">
            <v>43884</v>
          </cell>
          <cell r="AA1">
            <v>43885</v>
          </cell>
          <cell r="AB1">
            <v>43886</v>
          </cell>
          <cell r="AC1">
            <v>43887</v>
          </cell>
          <cell r="AD1">
            <v>43888</v>
          </cell>
          <cell r="AE1">
            <v>43889</v>
          </cell>
          <cell r="AF1">
            <v>43890</v>
          </cell>
          <cell r="AG1" t="str">
            <v/>
          </cell>
          <cell r="AH1" t="e">
            <v>#VALUE!</v>
          </cell>
        </row>
        <row r="2">
          <cell r="D2">
            <v>43862</v>
          </cell>
          <cell r="E2">
            <v>43863</v>
          </cell>
          <cell r="F2">
            <v>43864</v>
          </cell>
          <cell r="G2">
            <v>43865</v>
          </cell>
          <cell r="H2">
            <v>43866</v>
          </cell>
          <cell r="I2">
            <v>43867</v>
          </cell>
          <cell r="J2">
            <v>43868</v>
          </cell>
          <cell r="K2">
            <v>43869</v>
          </cell>
          <cell r="L2">
            <v>43870</v>
          </cell>
          <cell r="M2">
            <v>43871</v>
          </cell>
          <cell r="N2">
            <v>43872</v>
          </cell>
          <cell r="O2">
            <v>43873</v>
          </cell>
          <cell r="P2">
            <v>43874</v>
          </cell>
          <cell r="Q2">
            <v>43875</v>
          </cell>
          <cell r="R2">
            <v>43876</v>
          </cell>
          <cell r="S2">
            <v>43877</v>
          </cell>
          <cell r="T2">
            <v>43878</v>
          </cell>
          <cell r="U2">
            <v>43879</v>
          </cell>
          <cell r="V2">
            <v>43880</v>
          </cell>
          <cell r="W2">
            <v>43881</v>
          </cell>
          <cell r="X2">
            <v>43882</v>
          </cell>
          <cell r="Y2">
            <v>43883</v>
          </cell>
          <cell r="Z2">
            <v>43884</v>
          </cell>
          <cell r="AA2">
            <v>43885</v>
          </cell>
          <cell r="AB2">
            <v>43886</v>
          </cell>
          <cell r="AC2">
            <v>43887</v>
          </cell>
          <cell r="AD2">
            <v>43888</v>
          </cell>
          <cell r="AE2">
            <v>43889</v>
          </cell>
          <cell r="AF2">
            <v>43890</v>
          </cell>
          <cell r="AG2" t="str">
            <v/>
          </cell>
          <cell r="AH2" t="e">
            <v>#VALUE!</v>
          </cell>
        </row>
        <row r="3">
          <cell r="D3" t="str">
            <v>澤野</v>
          </cell>
          <cell r="E3" t="str">
            <v>山田</v>
          </cell>
          <cell r="F3" t="str">
            <v>大橋</v>
          </cell>
          <cell r="G3" t="str">
            <v>庵</v>
          </cell>
          <cell r="H3" t="str">
            <v>山村</v>
          </cell>
          <cell r="I3" t="str">
            <v>平田恵</v>
          </cell>
          <cell r="J3" t="str">
            <v>中村</v>
          </cell>
          <cell r="K3" t="str">
            <v>山本</v>
          </cell>
          <cell r="L3" t="str">
            <v>大橋</v>
          </cell>
          <cell r="M3" t="str">
            <v>村崎</v>
          </cell>
          <cell r="N3" t="str">
            <v>山下</v>
          </cell>
          <cell r="O3" t="str">
            <v>清水</v>
          </cell>
          <cell r="P3" t="str">
            <v>澤野</v>
          </cell>
          <cell r="Q3" t="str">
            <v>南</v>
          </cell>
          <cell r="R3" t="str">
            <v>長田</v>
          </cell>
          <cell r="S3" t="str">
            <v>加藤</v>
          </cell>
          <cell r="T3" t="str">
            <v>清水</v>
          </cell>
          <cell r="U3" t="str">
            <v>大橋</v>
          </cell>
          <cell r="V3" t="str">
            <v>山村</v>
          </cell>
          <cell r="W3" t="str">
            <v>長田</v>
          </cell>
          <cell r="X3" t="str">
            <v>南</v>
          </cell>
          <cell r="Y3" t="str">
            <v>山田</v>
          </cell>
          <cell r="Z3" t="str">
            <v>大橋</v>
          </cell>
          <cell r="AA3" t="str">
            <v>黒田辰</v>
          </cell>
          <cell r="AB3" t="str">
            <v>佐藤恵</v>
          </cell>
          <cell r="AC3" t="str">
            <v>山下</v>
          </cell>
          <cell r="AD3" t="str">
            <v>黒田辰</v>
          </cell>
          <cell r="AE3" t="str">
            <v>中井</v>
          </cell>
          <cell r="AF3" t="str">
            <v>中村</v>
          </cell>
          <cell r="AG3" t="str">
            <v/>
          </cell>
          <cell r="AH3" t="str">
            <v/>
          </cell>
        </row>
        <row r="4">
          <cell r="D4" t="str">
            <v>齊藤</v>
          </cell>
          <cell r="E4" t="str">
            <v>加藤</v>
          </cell>
          <cell r="F4" t="str">
            <v>本田</v>
          </cell>
          <cell r="G4" t="str">
            <v>薬司</v>
          </cell>
          <cell r="H4" t="str">
            <v>清水</v>
          </cell>
          <cell r="I4" t="str">
            <v>長田</v>
          </cell>
          <cell r="J4" t="str">
            <v>長迫</v>
          </cell>
          <cell r="K4" t="str">
            <v>南</v>
          </cell>
          <cell r="L4" t="str">
            <v>齊藤</v>
          </cell>
          <cell r="M4" t="str">
            <v>佐藤穂</v>
          </cell>
          <cell r="N4" t="str">
            <v>田村</v>
          </cell>
          <cell r="O4" t="str">
            <v>平田恵</v>
          </cell>
          <cell r="P4" t="str">
            <v>本田</v>
          </cell>
          <cell r="Q4" t="str">
            <v>村崎</v>
          </cell>
          <cell r="R4" t="str">
            <v>齊藤</v>
          </cell>
          <cell r="S4" t="str">
            <v>西郡</v>
          </cell>
          <cell r="T4" t="str">
            <v>田村</v>
          </cell>
          <cell r="U4" t="str">
            <v>山本</v>
          </cell>
          <cell r="V4" t="str">
            <v>平田恵</v>
          </cell>
          <cell r="W4" t="str">
            <v>庵</v>
          </cell>
          <cell r="X4" t="str">
            <v>長迫</v>
          </cell>
          <cell r="Y4" t="str">
            <v>田村</v>
          </cell>
          <cell r="Z4" t="str">
            <v>澤野</v>
          </cell>
          <cell r="AA4" t="str">
            <v>西郡</v>
          </cell>
          <cell r="AB4" t="str">
            <v>村崎</v>
          </cell>
          <cell r="AC4" t="str">
            <v>佐藤穂</v>
          </cell>
          <cell r="AD4" t="str">
            <v>齊藤</v>
          </cell>
          <cell r="AE4" t="str">
            <v>山本</v>
          </cell>
          <cell r="AF4" t="str">
            <v>佐藤恵</v>
          </cell>
          <cell r="AG4" t="str">
            <v/>
          </cell>
          <cell r="AH4" t="str">
            <v/>
          </cell>
        </row>
      </sheetData>
      <sheetData sheetId="8">
        <row r="1">
          <cell r="D1">
            <v>43862</v>
          </cell>
          <cell r="E1">
            <v>43863</v>
          </cell>
          <cell r="F1">
            <v>43864</v>
          </cell>
          <cell r="G1">
            <v>43865</v>
          </cell>
          <cell r="H1">
            <v>43866</v>
          </cell>
          <cell r="I1">
            <v>43867</v>
          </cell>
          <cell r="J1">
            <v>43868</v>
          </cell>
          <cell r="K1">
            <v>43869</v>
          </cell>
          <cell r="L1">
            <v>43870</v>
          </cell>
          <cell r="M1">
            <v>43871</v>
          </cell>
          <cell r="N1">
            <v>43872</v>
          </cell>
          <cell r="O1">
            <v>43873</v>
          </cell>
          <cell r="P1">
            <v>43874</v>
          </cell>
          <cell r="Q1">
            <v>43875</v>
          </cell>
          <cell r="R1">
            <v>43876</v>
          </cell>
          <cell r="S1">
            <v>43877</v>
          </cell>
          <cell r="T1">
            <v>43878</v>
          </cell>
          <cell r="U1">
            <v>43879</v>
          </cell>
          <cell r="V1">
            <v>43880</v>
          </cell>
          <cell r="W1">
            <v>43881</v>
          </cell>
          <cell r="X1">
            <v>43882</v>
          </cell>
          <cell r="Y1">
            <v>43883</v>
          </cell>
          <cell r="Z1">
            <v>43884</v>
          </cell>
          <cell r="AA1">
            <v>43885</v>
          </cell>
          <cell r="AB1">
            <v>43886</v>
          </cell>
          <cell r="AC1">
            <v>43887</v>
          </cell>
          <cell r="AD1">
            <v>43888</v>
          </cell>
          <cell r="AE1">
            <v>43889</v>
          </cell>
          <cell r="AF1">
            <v>43890</v>
          </cell>
          <cell r="AG1" t="str">
            <v/>
          </cell>
          <cell r="AH1" t="e">
            <v>#VALUE!</v>
          </cell>
        </row>
        <row r="2">
          <cell r="D2">
            <v>43862</v>
          </cell>
          <cell r="E2">
            <v>43863</v>
          </cell>
          <cell r="F2">
            <v>43864</v>
          </cell>
          <cell r="G2">
            <v>43865</v>
          </cell>
          <cell r="H2">
            <v>43866</v>
          </cell>
          <cell r="I2">
            <v>43867</v>
          </cell>
          <cell r="J2">
            <v>43868</v>
          </cell>
          <cell r="K2">
            <v>43869</v>
          </cell>
          <cell r="L2">
            <v>43870</v>
          </cell>
          <cell r="M2">
            <v>43871</v>
          </cell>
          <cell r="N2">
            <v>43872</v>
          </cell>
          <cell r="O2">
            <v>43873</v>
          </cell>
          <cell r="P2">
            <v>43874</v>
          </cell>
          <cell r="Q2">
            <v>43875</v>
          </cell>
          <cell r="R2">
            <v>43876</v>
          </cell>
          <cell r="S2">
            <v>43877</v>
          </cell>
          <cell r="T2">
            <v>43878</v>
          </cell>
          <cell r="U2">
            <v>43879</v>
          </cell>
          <cell r="V2">
            <v>43880</v>
          </cell>
          <cell r="W2">
            <v>43881</v>
          </cell>
          <cell r="X2">
            <v>43882</v>
          </cell>
          <cell r="Y2">
            <v>43883</v>
          </cell>
          <cell r="Z2">
            <v>43884</v>
          </cell>
          <cell r="AA2">
            <v>43885</v>
          </cell>
          <cell r="AB2">
            <v>43886</v>
          </cell>
          <cell r="AC2">
            <v>43887</v>
          </cell>
          <cell r="AD2">
            <v>43888</v>
          </cell>
          <cell r="AE2">
            <v>43889</v>
          </cell>
          <cell r="AF2">
            <v>43890</v>
          </cell>
          <cell r="AG2" t="str">
            <v/>
          </cell>
          <cell r="AH2" t="e">
            <v>#VALUE!</v>
          </cell>
        </row>
        <row r="3">
          <cell r="D3" t="str">
            <v>大畑</v>
          </cell>
          <cell r="E3" t="str">
            <v>宮崎</v>
          </cell>
          <cell r="F3" t="str">
            <v>齊藤</v>
          </cell>
          <cell r="G3" t="str">
            <v>村崎</v>
          </cell>
          <cell r="H3" t="str">
            <v>田村</v>
          </cell>
          <cell r="I3" t="str">
            <v>大橋</v>
          </cell>
          <cell r="J3" t="str">
            <v>平田恵</v>
          </cell>
          <cell r="K3" t="str">
            <v>大畑</v>
          </cell>
          <cell r="L3" t="str">
            <v>宮崎</v>
          </cell>
          <cell r="M3" t="str">
            <v>長迫</v>
          </cell>
          <cell r="N3" t="str">
            <v>宮崎</v>
          </cell>
          <cell r="O3" t="str">
            <v>平田真</v>
          </cell>
          <cell r="P3" t="str">
            <v>大橋</v>
          </cell>
          <cell r="Q3" t="str">
            <v>山田</v>
          </cell>
          <cell r="R3" t="str">
            <v>大畑</v>
          </cell>
          <cell r="S3" t="str">
            <v>宮崎</v>
          </cell>
          <cell r="T3" t="str">
            <v>庵</v>
          </cell>
          <cell r="U3" t="str">
            <v>黒田辰</v>
          </cell>
          <cell r="V3" t="str">
            <v>山下</v>
          </cell>
          <cell r="W3" t="str">
            <v>大橋</v>
          </cell>
          <cell r="X3" t="str">
            <v>加藤</v>
          </cell>
          <cell r="Y3" t="str">
            <v>大畑</v>
          </cell>
          <cell r="Z3" t="str">
            <v>宮崎</v>
          </cell>
          <cell r="AA3" t="str">
            <v>宮崎</v>
          </cell>
          <cell r="AB3" t="str">
            <v>南</v>
          </cell>
          <cell r="AC3" t="str">
            <v>山田</v>
          </cell>
          <cell r="AD3" t="str">
            <v>中村</v>
          </cell>
          <cell r="AE3" t="str">
            <v>黒田辰</v>
          </cell>
          <cell r="AF3" t="str">
            <v>大畑</v>
          </cell>
          <cell r="AG3" t="str">
            <v/>
          </cell>
          <cell r="AH3" t="str">
            <v/>
          </cell>
        </row>
        <row r="4">
          <cell r="D4" t="str">
            <v>谷口</v>
          </cell>
          <cell r="E4" t="str">
            <v>奥</v>
          </cell>
          <cell r="F4" t="str">
            <v>村中</v>
          </cell>
          <cell r="G4" t="str">
            <v>加藤</v>
          </cell>
          <cell r="H4" t="str">
            <v>佐藤恵</v>
          </cell>
          <cell r="I4" t="str">
            <v>西郡</v>
          </cell>
          <cell r="J4" t="str">
            <v>村崎</v>
          </cell>
          <cell r="K4" t="str">
            <v>谷口</v>
          </cell>
          <cell r="L4" t="str">
            <v>奥</v>
          </cell>
          <cell r="M4" t="str">
            <v>谷口</v>
          </cell>
          <cell r="N4" t="str">
            <v>奥</v>
          </cell>
          <cell r="O4" t="str">
            <v>南</v>
          </cell>
          <cell r="P4" t="str">
            <v>山本</v>
          </cell>
          <cell r="Q4" t="str">
            <v>佐藤恵</v>
          </cell>
          <cell r="R4" t="str">
            <v>谷口</v>
          </cell>
          <cell r="S4" t="str">
            <v>奥</v>
          </cell>
          <cell r="T4" t="str">
            <v>佐藤穂</v>
          </cell>
          <cell r="U4" t="str">
            <v>本田</v>
          </cell>
          <cell r="V4" t="str">
            <v>齊藤</v>
          </cell>
          <cell r="W4" t="str">
            <v>澤野</v>
          </cell>
          <cell r="X4" t="str">
            <v>西郡</v>
          </cell>
          <cell r="Y4" t="str">
            <v>谷口</v>
          </cell>
          <cell r="Z4" t="str">
            <v>奥</v>
          </cell>
          <cell r="AA4" t="str">
            <v>奥</v>
          </cell>
          <cell r="AB4" t="str">
            <v>清水</v>
          </cell>
          <cell r="AC4" t="str">
            <v>本田</v>
          </cell>
          <cell r="AD4" t="str">
            <v>長田</v>
          </cell>
          <cell r="AE4" t="str">
            <v>西郡</v>
          </cell>
          <cell r="AF4" t="str">
            <v>谷口</v>
          </cell>
          <cell r="AG4" t="str">
            <v/>
          </cell>
          <cell r="AH4" t="str">
            <v/>
          </cell>
        </row>
        <row r="5">
          <cell r="D5" t="str">
            <v>村中</v>
          </cell>
          <cell r="E5" t="str">
            <v>山下</v>
          </cell>
          <cell r="F5" t="str">
            <v>阪井田</v>
          </cell>
          <cell r="G5" t="str">
            <v>大畑</v>
          </cell>
          <cell r="H5" t="str">
            <v>加藤</v>
          </cell>
          <cell r="I5" t="str">
            <v>大畑</v>
          </cell>
          <cell r="J5" t="str">
            <v>大畑</v>
          </cell>
          <cell r="K5" t="str">
            <v>村中</v>
          </cell>
          <cell r="L5" t="str">
            <v>山下</v>
          </cell>
          <cell r="M5" t="str">
            <v>村中</v>
          </cell>
          <cell r="N5" t="str">
            <v>山村</v>
          </cell>
          <cell r="O5" t="str">
            <v>田村</v>
          </cell>
          <cell r="P5" t="str">
            <v>大畑</v>
          </cell>
          <cell r="Q5" t="str">
            <v>大畑</v>
          </cell>
          <cell r="R5" t="str">
            <v>村中</v>
          </cell>
          <cell r="S5" t="str">
            <v>山下</v>
          </cell>
          <cell r="T5" t="str">
            <v>大畑</v>
          </cell>
          <cell r="U5" t="str">
            <v>大畑</v>
          </cell>
          <cell r="V5" t="str">
            <v>大畑</v>
          </cell>
          <cell r="W5" t="str">
            <v>清水</v>
          </cell>
          <cell r="X5" t="str">
            <v>大畑</v>
          </cell>
          <cell r="Y5" t="str">
            <v>村中</v>
          </cell>
          <cell r="Z5" t="str">
            <v>山下</v>
          </cell>
          <cell r="AA5" t="str">
            <v>山下</v>
          </cell>
          <cell r="AB5" t="str">
            <v>田村</v>
          </cell>
          <cell r="AC5" t="str">
            <v>薬司</v>
          </cell>
          <cell r="AD5" t="str">
            <v>大畑</v>
          </cell>
          <cell r="AE5" t="str">
            <v>大畑</v>
          </cell>
          <cell r="AF5" t="str">
            <v>村中</v>
          </cell>
          <cell r="AG5" t="str">
            <v/>
          </cell>
          <cell r="AH5" t="str">
            <v/>
          </cell>
        </row>
        <row r="6">
          <cell r="D6" t="str">
            <v>阪井田</v>
          </cell>
          <cell r="E6" t="str">
            <v>山村</v>
          </cell>
          <cell r="F6" t="str">
            <v/>
          </cell>
          <cell r="G6" t="str">
            <v>谷口</v>
          </cell>
          <cell r="H6" t="str">
            <v>村中</v>
          </cell>
          <cell r="I6" t="str">
            <v>谷口</v>
          </cell>
          <cell r="J6" t="str">
            <v>村中</v>
          </cell>
          <cell r="K6" t="str">
            <v>阪井田</v>
          </cell>
          <cell r="L6" t="str">
            <v>山村</v>
          </cell>
          <cell r="M6" t="str">
            <v/>
          </cell>
          <cell r="N6" t="str">
            <v>殿田</v>
          </cell>
          <cell r="O6" t="str">
            <v>村中</v>
          </cell>
          <cell r="P6" t="str">
            <v>村中</v>
          </cell>
          <cell r="Q6" t="str">
            <v>谷口</v>
          </cell>
          <cell r="R6" t="str">
            <v>阪井田</v>
          </cell>
          <cell r="S6" t="str">
            <v>山村</v>
          </cell>
          <cell r="T6" t="str">
            <v>村中</v>
          </cell>
          <cell r="U6" t="str">
            <v>谷口</v>
          </cell>
          <cell r="V6" t="str">
            <v>村中</v>
          </cell>
          <cell r="W6" t="str">
            <v>大畑</v>
          </cell>
          <cell r="X6" t="str">
            <v>村中</v>
          </cell>
          <cell r="Y6" t="str">
            <v>阪井田</v>
          </cell>
          <cell r="Z6" t="str">
            <v>山村</v>
          </cell>
          <cell r="AA6" t="str">
            <v>山村</v>
          </cell>
          <cell r="AB6" t="str">
            <v>大畑</v>
          </cell>
          <cell r="AC6" t="str">
            <v>大畑</v>
          </cell>
          <cell r="AD6" t="str">
            <v>村中</v>
          </cell>
          <cell r="AE6" t="str">
            <v>村中</v>
          </cell>
          <cell r="AF6" t="str">
            <v>阪井田</v>
          </cell>
          <cell r="AG6" t="str">
            <v/>
          </cell>
          <cell r="AH6" t="str">
            <v/>
          </cell>
        </row>
        <row r="7">
          <cell r="D7" t="str">
            <v>木田</v>
          </cell>
          <cell r="E7" t="str">
            <v>殿田</v>
          </cell>
          <cell r="F7" t="str">
            <v/>
          </cell>
          <cell r="G7" t="str">
            <v>村中</v>
          </cell>
          <cell r="H7" t="str">
            <v>阪井田</v>
          </cell>
          <cell r="I7" t="str">
            <v>村中</v>
          </cell>
          <cell r="J7" t="str">
            <v/>
          </cell>
          <cell r="K7" t="str">
            <v>木田</v>
          </cell>
          <cell r="L7" t="str">
            <v>殿田</v>
          </cell>
          <cell r="M7" t="str">
            <v/>
          </cell>
          <cell r="N7" t="str">
            <v>森本</v>
          </cell>
          <cell r="O7" t="str">
            <v>阪井田</v>
          </cell>
          <cell r="P7" t="str">
            <v>阪井田</v>
          </cell>
          <cell r="Q7" t="str">
            <v>村中</v>
          </cell>
          <cell r="R7" t="str">
            <v>木田</v>
          </cell>
          <cell r="S7" t="str">
            <v>殿田</v>
          </cell>
          <cell r="T7" t="str">
            <v>阪井田</v>
          </cell>
          <cell r="U7" t="str">
            <v>村中</v>
          </cell>
          <cell r="V7" t="str">
            <v>阪井田</v>
          </cell>
          <cell r="W7" t="str">
            <v>村中</v>
          </cell>
          <cell r="X7" t="str">
            <v>阪井田</v>
          </cell>
          <cell r="Y7" t="str">
            <v>木田</v>
          </cell>
          <cell r="Z7" t="str">
            <v>殿田</v>
          </cell>
          <cell r="AA7" t="str">
            <v>殿田</v>
          </cell>
          <cell r="AB7" t="str">
            <v>谷口</v>
          </cell>
          <cell r="AC7" t="str">
            <v>村中</v>
          </cell>
          <cell r="AD7" t="str">
            <v>阪井田</v>
          </cell>
          <cell r="AE7" t="str">
            <v>阪井田</v>
          </cell>
          <cell r="AF7" t="str">
            <v>木田</v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>森本</v>
          </cell>
          <cell r="F8" t="str">
            <v/>
          </cell>
          <cell r="G8" t="str">
            <v/>
          </cell>
          <cell r="H8" t="str">
            <v/>
          </cell>
          <cell r="I8" t="str">
            <v>阪井田</v>
          </cell>
          <cell r="J8" t="str">
            <v/>
          </cell>
          <cell r="K8" t="str">
            <v/>
          </cell>
          <cell r="L8" t="str">
            <v>森本</v>
          </cell>
          <cell r="M8" t="str">
            <v/>
          </cell>
          <cell r="N8" t="str">
            <v>中井</v>
          </cell>
          <cell r="O8" t="str">
            <v/>
          </cell>
          <cell r="P8" t="str">
            <v/>
          </cell>
          <cell r="Q8" t="str">
            <v>阪井田</v>
          </cell>
          <cell r="R8" t="str">
            <v/>
          </cell>
          <cell r="S8" t="str">
            <v>森本</v>
          </cell>
          <cell r="T8" t="str">
            <v/>
          </cell>
          <cell r="U8" t="str">
            <v>阪井田</v>
          </cell>
          <cell r="V8" t="str">
            <v/>
          </cell>
          <cell r="W8" t="str">
            <v>阪井田</v>
          </cell>
          <cell r="X8" t="str">
            <v/>
          </cell>
          <cell r="Y8" t="str">
            <v/>
          </cell>
          <cell r="Z8" t="str">
            <v>森本</v>
          </cell>
          <cell r="AA8" t="str">
            <v>森本</v>
          </cell>
          <cell r="AB8" t="str">
            <v>村中</v>
          </cell>
          <cell r="AC8" t="str">
            <v>阪井田</v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>中井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>中井</v>
          </cell>
          <cell r="M9" t="str">
            <v/>
          </cell>
          <cell r="N9" t="str">
            <v>北</v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>中井</v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>中井</v>
          </cell>
          <cell r="AA9" t="str">
            <v>北</v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>北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>北</v>
          </cell>
          <cell r="M10" t="str">
            <v/>
          </cell>
          <cell r="N10" t="str">
            <v>中村</v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>北</v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>北</v>
          </cell>
          <cell r="AA10" t="str">
            <v>中村</v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D1">
            <v>43891</v>
          </cell>
          <cell r="E1">
            <v>43892</v>
          </cell>
          <cell r="F1">
            <v>43893</v>
          </cell>
          <cell r="G1">
            <v>43894</v>
          </cell>
          <cell r="H1">
            <v>43895</v>
          </cell>
          <cell r="I1">
            <v>43896</v>
          </cell>
          <cell r="J1">
            <v>43897</v>
          </cell>
          <cell r="K1">
            <v>43898</v>
          </cell>
          <cell r="L1">
            <v>43899</v>
          </cell>
          <cell r="M1">
            <v>43900</v>
          </cell>
          <cell r="N1">
            <v>43901</v>
          </cell>
          <cell r="O1">
            <v>43902</v>
          </cell>
          <cell r="P1">
            <v>43903</v>
          </cell>
          <cell r="Q1">
            <v>43904</v>
          </cell>
          <cell r="R1">
            <v>43905</v>
          </cell>
          <cell r="S1">
            <v>43906</v>
          </cell>
          <cell r="T1">
            <v>43907</v>
          </cell>
          <cell r="U1">
            <v>43908</v>
          </cell>
          <cell r="V1">
            <v>43909</v>
          </cell>
          <cell r="W1">
            <v>43910</v>
          </cell>
          <cell r="X1">
            <v>43911</v>
          </cell>
          <cell r="Y1">
            <v>43912</v>
          </cell>
          <cell r="Z1">
            <v>43913</v>
          </cell>
          <cell r="AA1">
            <v>43914</v>
          </cell>
          <cell r="AB1">
            <v>43915</v>
          </cell>
          <cell r="AC1">
            <v>43916</v>
          </cell>
          <cell r="AD1">
            <v>43917</v>
          </cell>
          <cell r="AE1">
            <v>43918</v>
          </cell>
          <cell r="AF1">
            <v>43919</v>
          </cell>
          <cell r="AG1">
            <v>43920</v>
          </cell>
          <cell r="AH1">
            <v>43921</v>
          </cell>
        </row>
        <row r="2">
          <cell r="D2">
            <v>43891</v>
          </cell>
          <cell r="E2">
            <v>43892</v>
          </cell>
          <cell r="F2">
            <v>43893</v>
          </cell>
          <cell r="G2">
            <v>43894</v>
          </cell>
          <cell r="H2">
            <v>43895</v>
          </cell>
          <cell r="I2">
            <v>43896</v>
          </cell>
          <cell r="J2">
            <v>43897</v>
          </cell>
          <cell r="K2">
            <v>43898</v>
          </cell>
          <cell r="L2">
            <v>43899</v>
          </cell>
          <cell r="M2">
            <v>43900</v>
          </cell>
          <cell r="N2">
            <v>43901</v>
          </cell>
          <cell r="O2">
            <v>43902</v>
          </cell>
          <cell r="P2">
            <v>43903</v>
          </cell>
          <cell r="Q2">
            <v>43904</v>
          </cell>
          <cell r="R2">
            <v>43905</v>
          </cell>
          <cell r="S2">
            <v>43906</v>
          </cell>
          <cell r="T2">
            <v>43907</v>
          </cell>
          <cell r="U2">
            <v>43908</v>
          </cell>
          <cell r="V2">
            <v>43909</v>
          </cell>
          <cell r="W2">
            <v>43910</v>
          </cell>
          <cell r="X2">
            <v>43911</v>
          </cell>
          <cell r="Y2">
            <v>43912</v>
          </cell>
          <cell r="Z2">
            <v>43913</v>
          </cell>
          <cell r="AA2">
            <v>43914</v>
          </cell>
          <cell r="AB2">
            <v>43915</v>
          </cell>
          <cell r="AC2">
            <v>43916</v>
          </cell>
          <cell r="AD2">
            <v>43917</v>
          </cell>
          <cell r="AE2">
            <v>43918</v>
          </cell>
          <cell r="AF2">
            <v>43919</v>
          </cell>
          <cell r="AG2">
            <v>43920</v>
          </cell>
          <cell r="AH2">
            <v>43921</v>
          </cell>
        </row>
        <row r="3">
          <cell r="D3" t="str">
            <v>南</v>
          </cell>
          <cell r="E3" t="str">
            <v>大橋</v>
          </cell>
          <cell r="F3" t="str">
            <v>長田</v>
          </cell>
          <cell r="G3" t="str">
            <v>山田</v>
          </cell>
          <cell r="H3" t="str">
            <v>田村</v>
          </cell>
          <cell r="I3" t="str">
            <v>平田恵</v>
          </cell>
          <cell r="J3" t="str">
            <v>長迫</v>
          </cell>
          <cell r="K3" t="str">
            <v>山村</v>
          </cell>
          <cell r="L3" t="str">
            <v>中村</v>
          </cell>
          <cell r="M3" t="str">
            <v>村崎</v>
          </cell>
          <cell r="N3" t="str">
            <v>大橋</v>
          </cell>
          <cell r="O3" t="str">
            <v>山下</v>
          </cell>
          <cell r="P3" t="str">
            <v>山田</v>
          </cell>
          <cell r="Q3" t="str">
            <v>中井</v>
          </cell>
          <cell r="R3" t="str">
            <v>平田恵</v>
          </cell>
          <cell r="S3" t="str">
            <v>澤野</v>
          </cell>
          <cell r="T3" t="str">
            <v>清水</v>
          </cell>
          <cell r="U3" t="str">
            <v>南</v>
          </cell>
          <cell r="V3" t="str">
            <v>長田</v>
          </cell>
          <cell r="W3" t="str">
            <v>山村</v>
          </cell>
          <cell r="X3" t="str">
            <v>加藤</v>
          </cell>
          <cell r="Y3" t="str">
            <v>長田</v>
          </cell>
          <cell r="Z3" t="str">
            <v>南</v>
          </cell>
          <cell r="AA3" t="str">
            <v>平田恵</v>
          </cell>
          <cell r="AB3" t="str">
            <v>中井</v>
          </cell>
          <cell r="AC3" t="str">
            <v>大橋</v>
          </cell>
          <cell r="AD3" t="str">
            <v>中村</v>
          </cell>
          <cell r="AE3" t="str">
            <v>清水</v>
          </cell>
          <cell r="AF3" t="str">
            <v>山本</v>
          </cell>
          <cell r="AG3" t="str">
            <v>山田</v>
          </cell>
          <cell r="AH3" t="str">
            <v>山村</v>
          </cell>
        </row>
        <row r="4">
          <cell r="D4" t="str">
            <v>加藤</v>
          </cell>
          <cell r="E4" t="str">
            <v>庵</v>
          </cell>
          <cell r="F4" t="str">
            <v>齊藤</v>
          </cell>
          <cell r="G4" t="str">
            <v>西郡</v>
          </cell>
          <cell r="H4" t="str">
            <v>薬司</v>
          </cell>
          <cell r="I4" t="str">
            <v>佐藤恵</v>
          </cell>
          <cell r="J4" t="str">
            <v>加藤</v>
          </cell>
          <cell r="K4" t="str">
            <v>大橋</v>
          </cell>
          <cell r="L4" t="str">
            <v>佐藤恵</v>
          </cell>
          <cell r="M4" t="str">
            <v>本田</v>
          </cell>
          <cell r="N4" t="str">
            <v>佐藤穂</v>
          </cell>
          <cell r="O4" t="str">
            <v>山本</v>
          </cell>
          <cell r="P4" t="str">
            <v>黒田辰</v>
          </cell>
          <cell r="Q4" t="str">
            <v>大橋</v>
          </cell>
          <cell r="R4" t="str">
            <v>村崎</v>
          </cell>
          <cell r="S4" t="str">
            <v>加藤</v>
          </cell>
          <cell r="T4" t="str">
            <v>庵</v>
          </cell>
          <cell r="U4" t="str">
            <v>田村</v>
          </cell>
          <cell r="V4" t="str">
            <v>佐藤恵</v>
          </cell>
          <cell r="W4" t="str">
            <v>中村</v>
          </cell>
          <cell r="X4" t="str">
            <v>本田</v>
          </cell>
          <cell r="Y4" t="str">
            <v>齊藤</v>
          </cell>
          <cell r="Z4" t="str">
            <v>清水</v>
          </cell>
          <cell r="AA4" t="str">
            <v>本田</v>
          </cell>
          <cell r="AB4" t="str">
            <v>西郡</v>
          </cell>
          <cell r="AC4" t="str">
            <v>薬司</v>
          </cell>
          <cell r="AD4" t="str">
            <v>澤野</v>
          </cell>
          <cell r="AE4" t="str">
            <v>佐藤穂</v>
          </cell>
          <cell r="AF4" t="str">
            <v>村崎</v>
          </cell>
          <cell r="AG4" t="str">
            <v>加藤</v>
          </cell>
          <cell r="AH4" t="str">
            <v>中村</v>
          </cell>
        </row>
      </sheetData>
      <sheetData sheetId="8">
        <row r="1">
          <cell r="D1">
            <v>43891</v>
          </cell>
          <cell r="E1">
            <v>43892</v>
          </cell>
          <cell r="F1">
            <v>43893</v>
          </cell>
          <cell r="G1">
            <v>43894</v>
          </cell>
          <cell r="H1">
            <v>43895</v>
          </cell>
          <cell r="I1">
            <v>43896</v>
          </cell>
          <cell r="J1">
            <v>43897</v>
          </cell>
          <cell r="K1">
            <v>43898</v>
          </cell>
          <cell r="L1">
            <v>43899</v>
          </cell>
          <cell r="M1">
            <v>43900</v>
          </cell>
          <cell r="N1">
            <v>43901</v>
          </cell>
          <cell r="O1">
            <v>43902</v>
          </cell>
          <cell r="P1">
            <v>43903</v>
          </cell>
          <cell r="Q1">
            <v>43904</v>
          </cell>
          <cell r="R1">
            <v>43905</v>
          </cell>
          <cell r="S1">
            <v>43906</v>
          </cell>
          <cell r="T1">
            <v>43907</v>
          </cell>
          <cell r="U1">
            <v>43908</v>
          </cell>
          <cell r="V1">
            <v>43909</v>
          </cell>
          <cell r="W1">
            <v>43910</v>
          </cell>
          <cell r="X1">
            <v>43911</v>
          </cell>
          <cell r="Y1">
            <v>43912</v>
          </cell>
          <cell r="Z1">
            <v>43913</v>
          </cell>
          <cell r="AA1">
            <v>43914</v>
          </cell>
          <cell r="AB1">
            <v>43915</v>
          </cell>
          <cell r="AC1">
            <v>43916</v>
          </cell>
          <cell r="AD1">
            <v>43917</v>
          </cell>
          <cell r="AE1">
            <v>43918</v>
          </cell>
          <cell r="AF1">
            <v>43919</v>
          </cell>
          <cell r="AG1">
            <v>43920</v>
          </cell>
          <cell r="AH1">
            <v>43921</v>
          </cell>
        </row>
        <row r="2">
          <cell r="D2">
            <v>43891</v>
          </cell>
          <cell r="E2">
            <v>43892</v>
          </cell>
          <cell r="F2">
            <v>43893</v>
          </cell>
          <cell r="G2">
            <v>43894</v>
          </cell>
          <cell r="H2">
            <v>43895</v>
          </cell>
          <cell r="I2">
            <v>43896</v>
          </cell>
          <cell r="J2">
            <v>43897</v>
          </cell>
          <cell r="K2">
            <v>43898</v>
          </cell>
          <cell r="L2">
            <v>43899</v>
          </cell>
          <cell r="M2">
            <v>43900</v>
          </cell>
          <cell r="N2">
            <v>43901</v>
          </cell>
          <cell r="O2">
            <v>43902</v>
          </cell>
          <cell r="P2">
            <v>43903</v>
          </cell>
          <cell r="Q2">
            <v>43904</v>
          </cell>
          <cell r="R2">
            <v>43905</v>
          </cell>
          <cell r="S2">
            <v>43906</v>
          </cell>
          <cell r="T2">
            <v>43907</v>
          </cell>
          <cell r="U2">
            <v>43908</v>
          </cell>
          <cell r="V2">
            <v>43909</v>
          </cell>
          <cell r="W2">
            <v>43910</v>
          </cell>
          <cell r="X2">
            <v>43911</v>
          </cell>
          <cell r="Y2">
            <v>43912</v>
          </cell>
          <cell r="Z2">
            <v>43913</v>
          </cell>
          <cell r="AA2">
            <v>43914</v>
          </cell>
          <cell r="AB2">
            <v>43915</v>
          </cell>
          <cell r="AC2">
            <v>43916</v>
          </cell>
          <cell r="AD2">
            <v>43917</v>
          </cell>
          <cell r="AE2">
            <v>43918</v>
          </cell>
          <cell r="AF2">
            <v>43919</v>
          </cell>
          <cell r="AG2">
            <v>43920</v>
          </cell>
          <cell r="AH2">
            <v>43921</v>
          </cell>
        </row>
        <row r="3">
          <cell r="D3" t="str">
            <v>宮崎</v>
          </cell>
          <cell r="E3" t="str">
            <v>中井</v>
          </cell>
          <cell r="F3" t="str">
            <v>庵</v>
          </cell>
          <cell r="G3" t="str">
            <v>大橋</v>
          </cell>
          <cell r="H3" t="str">
            <v>大橋</v>
          </cell>
          <cell r="I3" t="str">
            <v>山本</v>
          </cell>
          <cell r="J3" t="str">
            <v>大畑</v>
          </cell>
          <cell r="K3" t="str">
            <v>宮崎</v>
          </cell>
          <cell r="L3" t="str">
            <v>山下</v>
          </cell>
          <cell r="M3" t="str">
            <v>長迫</v>
          </cell>
          <cell r="N3" t="str">
            <v>山村</v>
          </cell>
          <cell r="O3" t="str">
            <v>中村</v>
          </cell>
          <cell r="P3" t="str">
            <v>佐藤恵</v>
          </cell>
          <cell r="Q3" t="str">
            <v>大畑</v>
          </cell>
          <cell r="R3" t="str">
            <v>宮崎</v>
          </cell>
          <cell r="S3" t="str">
            <v>大橋</v>
          </cell>
          <cell r="T3" t="str">
            <v>中井</v>
          </cell>
          <cell r="U3" t="str">
            <v>村崎</v>
          </cell>
          <cell r="V3" t="str">
            <v>大橋</v>
          </cell>
          <cell r="W3" t="str">
            <v>宮崎</v>
          </cell>
          <cell r="X3" t="str">
            <v>大畑</v>
          </cell>
          <cell r="Y3" t="str">
            <v>宮崎</v>
          </cell>
          <cell r="Z3" t="str">
            <v>長田</v>
          </cell>
          <cell r="AA3" t="str">
            <v>山村</v>
          </cell>
          <cell r="AB3" t="str">
            <v>中村</v>
          </cell>
          <cell r="AC3" t="str">
            <v>加藤</v>
          </cell>
          <cell r="AD3" t="str">
            <v>齊藤</v>
          </cell>
          <cell r="AE3" t="str">
            <v>吉田</v>
          </cell>
          <cell r="AF3" t="str">
            <v>宮崎</v>
          </cell>
          <cell r="AG3" t="str">
            <v>薬司</v>
          </cell>
          <cell r="AH3" t="str">
            <v>南</v>
          </cell>
        </row>
        <row r="4">
          <cell r="D4" t="str">
            <v>奥</v>
          </cell>
          <cell r="E4" t="str">
            <v>村中</v>
          </cell>
          <cell r="F4" t="str">
            <v>大畑</v>
          </cell>
          <cell r="G4" t="str">
            <v>佐藤穂</v>
          </cell>
          <cell r="H4" t="str">
            <v>山田</v>
          </cell>
          <cell r="I4" t="str">
            <v>大畑</v>
          </cell>
          <cell r="J4" t="str">
            <v>谷口</v>
          </cell>
          <cell r="K4" t="str">
            <v>奥</v>
          </cell>
          <cell r="L4" t="str">
            <v>村中</v>
          </cell>
          <cell r="M4" t="str">
            <v>加藤</v>
          </cell>
          <cell r="N4" t="str">
            <v>清水</v>
          </cell>
          <cell r="O4" t="str">
            <v>大畑</v>
          </cell>
          <cell r="P4" t="str">
            <v>大畑</v>
          </cell>
          <cell r="Q4" t="str">
            <v>谷口</v>
          </cell>
          <cell r="R4" t="str">
            <v>奥</v>
          </cell>
          <cell r="S4" t="str">
            <v>大畑</v>
          </cell>
          <cell r="T4" t="str">
            <v>平田恵</v>
          </cell>
          <cell r="U4" t="str">
            <v>大畑</v>
          </cell>
          <cell r="V4" t="str">
            <v>澤野</v>
          </cell>
          <cell r="W4" t="str">
            <v>奥</v>
          </cell>
          <cell r="X4" t="str">
            <v>谷口</v>
          </cell>
          <cell r="Y4" t="str">
            <v>奥</v>
          </cell>
          <cell r="Z4" t="str">
            <v>加藤</v>
          </cell>
          <cell r="AA4" t="str">
            <v>中村</v>
          </cell>
          <cell r="AB4" t="str">
            <v>加藤</v>
          </cell>
          <cell r="AC4" t="str">
            <v>本田</v>
          </cell>
          <cell r="AD4" t="str">
            <v>大畑</v>
          </cell>
          <cell r="AE4" t="str">
            <v>大畑</v>
          </cell>
          <cell r="AF4" t="str">
            <v>奥</v>
          </cell>
          <cell r="AG4" t="str">
            <v>村中</v>
          </cell>
          <cell r="AH4" t="str">
            <v>清水</v>
          </cell>
        </row>
        <row r="5">
          <cell r="D5" t="str">
            <v>山下</v>
          </cell>
          <cell r="E5" t="str">
            <v>阪井田</v>
          </cell>
          <cell r="F5" t="str">
            <v>谷口</v>
          </cell>
          <cell r="G5" t="str">
            <v>村中</v>
          </cell>
          <cell r="H5" t="str">
            <v>村崎</v>
          </cell>
          <cell r="I5" t="str">
            <v>村中</v>
          </cell>
          <cell r="J5" t="str">
            <v>村中</v>
          </cell>
          <cell r="K5" t="str">
            <v>殿田</v>
          </cell>
          <cell r="L5" t="str">
            <v>阪井田</v>
          </cell>
          <cell r="M5" t="str">
            <v>大畑</v>
          </cell>
          <cell r="N5" t="str">
            <v>村中</v>
          </cell>
          <cell r="O5" t="str">
            <v>谷口</v>
          </cell>
          <cell r="P5" t="str">
            <v>村中</v>
          </cell>
          <cell r="Q5" t="str">
            <v>村中</v>
          </cell>
          <cell r="R5" t="str">
            <v>山下</v>
          </cell>
          <cell r="S5" t="str">
            <v>村中</v>
          </cell>
          <cell r="T5" t="str">
            <v>大畑</v>
          </cell>
          <cell r="U5" t="str">
            <v>村中</v>
          </cell>
          <cell r="V5" t="str">
            <v>加藤</v>
          </cell>
          <cell r="W5" t="str">
            <v>山下</v>
          </cell>
          <cell r="X5" t="str">
            <v>村中</v>
          </cell>
          <cell r="Y5" t="str">
            <v>山下</v>
          </cell>
          <cell r="Z5" t="str">
            <v>村中</v>
          </cell>
          <cell r="AA5" t="str">
            <v>山本</v>
          </cell>
          <cell r="AB5" t="str">
            <v>本田</v>
          </cell>
          <cell r="AC5" t="str">
            <v>大畑</v>
          </cell>
          <cell r="AD5" t="str">
            <v>村中</v>
          </cell>
          <cell r="AE5" t="str">
            <v>谷口</v>
          </cell>
          <cell r="AF5" t="str">
            <v>山下</v>
          </cell>
          <cell r="AG5" t="str">
            <v>阪井田</v>
          </cell>
          <cell r="AH5" t="str">
            <v>加藤</v>
          </cell>
        </row>
        <row r="6">
          <cell r="D6" t="str">
            <v>山村</v>
          </cell>
          <cell r="E6" t="str">
            <v/>
          </cell>
          <cell r="F6" t="str">
            <v>村中</v>
          </cell>
          <cell r="G6" t="str">
            <v>阪井田</v>
          </cell>
          <cell r="H6" t="str">
            <v>大畑</v>
          </cell>
          <cell r="I6" t="str">
            <v>阪井田</v>
          </cell>
          <cell r="J6" t="str">
            <v>阪井田</v>
          </cell>
          <cell r="K6" t="str">
            <v>森本</v>
          </cell>
          <cell r="L6" t="str">
            <v/>
          </cell>
          <cell r="M6" t="str">
            <v>谷口</v>
          </cell>
          <cell r="N6" t="str">
            <v>阪井田</v>
          </cell>
          <cell r="O6" t="str">
            <v>村中</v>
          </cell>
          <cell r="P6" t="str">
            <v>阪井田</v>
          </cell>
          <cell r="Q6" t="str">
            <v>阪井田</v>
          </cell>
          <cell r="R6" t="str">
            <v>山村</v>
          </cell>
          <cell r="S6" t="str">
            <v/>
          </cell>
          <cell r="T6" t="str">
            <v>谷口</v>
          </cell>
          <cell r="U6" t="str">
            <v>阪井田</v>
          </cell>
          <cell r="V6" t="str">
            <v>大畑</v>
          </cell>
          <cell r="W6" t="str">
            <v>殿田</v>
          </cell>
          <cell r="X6" t="str">
            <v>阪井田</v>
          </cell>
          <cell r="Y6" t="str">
            <v>山村</v>
          </cell>
          <cell r="Z6" t="str">
            <v>阪井田</v>
          </cell>
          <cell r="AA6" t="str">
            <v>大畑</v>
          </cell>
          <cell r="AB6" t="str">
            <v>村中</v>
          </cell>
          <cell r="AC6" t="str">
            <v>谷口</v>
          </cell>
          <cell r="AD6" t="str">
            <v>阪井田</v>
          </cell>
          <cell r="AE6" t="str">
            <v>村中</v>
          </cell>
          <cell r="AF6" t="str">
            <v>山村</v>
          </cell>
          <cell r="AG6" t="str">
            <v/>
          </cell>
          <cell r="AH6" t="str">
            <v>大畑</v>
          </cell>
        </row>
        <row r="7">
          <cell r="D7" t="str">
            <v>殿田</v>
          </cell>
          <cell r="E7" t="str">
            <v/>
          </cell>
          <cell r="F7" t="str">
            <v/>
          </cell>
          <cell r="G7" t="str">
            <v/>
          </cell>
          <cell r="H7" t="str">
            <v>村中</v>
          </cell>
          <cell r="I7" t="str">
            <v/>
          </cell>
          <cell r="J7" t="str">
            <v>木田</v>
          </cell>
          <cell r="K7" t="str">
            <v>中井</v>
          </cell>
          <cell r="L7" t="str">
            <v/>
          </cell>
          <cell r="M7" t="str">
            <v>村中</v>
          </cell>
          <cell r="N7" t="str">
            <v/>
          </cell>
          <cell r="O7" t="str">
            <v>阪井田</v>
          </cell>
          <cell r="P7" t="str">
            <v/>
          </cell>
          <cell r="Q7" t="str">
            <v>木田</v>
          </cell>
          <cell r="R7" t="str">
            <v>殿田</v>
          </cell>
          <cell r="S7" t="str">
            <v/>
          </cell>
          <cell r="T7" t="str">
            <v>村中</v>
          </cell>
          <cell r="U7" t="str">
            <v/>
          </cell>
          <cell r="V7" t="str">
            <v>谷口</v>
          </cell>
          <cell r="W7" t="str">
            <v>森本</v>
          </cell>
          <cell r="X7" t="str">
            <v>木田</v>
          </cell>
          <cell r="Y7" t="str">
            <v>殿田</v>
          </cell>
          <cell r="Z7" t="str">
            <v/>
          </cell>
          <cell r="AA7" t="str">
            <v>谷口</v>
          </cell>
          <cell r="AB7" t="str">
            <v>阪井田</v>
          </cell>
          <cell r="AC7" t="str">
            <v>村中</v>
          </cell>
          <cell r="AD7" t="str">
            <v/>
          </cell>
          <cell r="AE7" t="str">
            <v>阪井田</v>
          </cell>
          <cell r="AF7" t="str">
            <v>殿田</v>
          </cell>
          <cell r="AG7" t="str">
            <v/>
          </cell>
          <cell r="AH7" t="str">
            <v>谷口</v>
          </cell>
        </row>
        <row r="8">
          <cell r="D8" t="str">
            <v>森本</v>
          </cell>
          <cell r="E8" t="str">
            <v/>
          </cell>
          <cell r="F8" t="str">
            <v/>
          </cell>
          <cell r="G8" t="str">
            <v/>
          </cell>
          <cell r="H8" t="str">
            <v>阪井田</v>
          </cell>
          <cell r="I8" t="str">
            <v/>
          </cell>
          <cell r="J8" t="str">
            <v/>
          </cell>
          <cell r="K8" t="str">
            <v>北</v>
          </cell>
          <cell r="L8" t="str">
            <v/>
          </cell>
          <cell r="M8" t="str">
            <v>阪井田</v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>森本</v>
          </cell>
          <cell r="S8" t="str">
            <v/>
          </cell>
          <cell r="T8" t="str">
            <v>阪井田</v>
          </cell>
          <cell r="U8" t="str">
            <v/>
          </cell>
          <cell r="V8" t="str">
            <v>村中</v>
          </cell>
          <cell r="W8" t="str">
            <v>中井</v>
          </cell>
          <cell r="X8" t="str">
            <v/>
          </cell>
          <cell r="Y8" t="str">
            <v>森本</v>
          </cell>
          <cell r="Z8" t="str">
            <v/>
          </cell>
          <cell r="AA8" t="str">
            <v>村中</v>
          </cell>
          <cell r="AB8" t="str">
            <v/>
          </cell>
          <cell r="AC8" t="str">
            <v>阪井田</v>
          </cell>
          <cell r="AD8" t="str">
            <v/>
          </cell>
          <cell r="AE8" t="str">
            <v>木田</v>
          </cell>
          <cell r="AF8" t="str">
            <v>森本</v>
          </cell>
          <cell r="AG8" t="str">
            <v/>
          </cell>
          <cell r="AH8" t="str">
            <v>村中</v>
          </cell>
        </row>
        <row r="9">
          <cell r="D9" t="str">
            <v>中井</v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>平田真</v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>中井</v>
          </cell>
          <cell r="S9" t="str">
            <v/>
          </cell>
          <cell r="T9" t="str">
            <v/>
          </cell>
          <cell r="U9" t="str">
            <v/>
          </cell>
          <cell r="V9" t="str">
            <v>阪井田</v>
          </cell>
          <cell r="W9" t="str">
            <v>北</v>
          </cell>
          <cell r="X9" t="str">
            <v/>
          </cell>
          <cell r="Y9" t="str">
            <v>中井</v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>中井</v>
          </cell>
          <cell r="AG9" t="str">
            <v/>
          </cell>
          <cell r="AH9" t="str">
            <v/>
          </cell>
        </row>
        <row r="10">
          <cell r="D10" t="str">
            <v>北</v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>山本</v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>北</v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>平田真</v>
          </cell>
          <cell r="X10" t="str">
            <v/>
          </cell>
          <cell r="Y10" t="str">
            <v>北</v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>北</v>
          </cell>
          <cell r="AG10" t="str">
            <v/>
          </cell>
          <cell r="AH10" t="str">
            <v/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D1">
            <v>43922</v>
          </cell>
          <cell r="E1">
            <v>43923</v>
          </cell>
          <cell r="F1">
            <v>43924</v>
          </cell>
          <cell r="G1">
            <v>43925</v>
          </cell>
          <cell r="H1">
            <v>43926</v>
          </cell>
          <cell r="I1">
            <v>43927</v>
          </cell>
          <cell r="J1">
            <v>43928</v>
          </cell>
          <cell r="K1">
            <v>43929</v>
          </cell>
          <cell r="L1">
            <v>43930</v>
          </cell>
          <cell r="M1">
            <v>43931</v>
          </cell>
          <cell r="N1">
            <v>43932</v>
          </cell>
          <cell r="O1">
            <v>43933</v>
          </cell>
          <cell r="P1">
            <v>43934</v>
          </cell>
          <cell r="Q1">
            <v>43935</v>
          </cell>
          <cell r="R1">
            <v>43936</v>
          </cell>
          <cell r="S1">
            <v>43937</v>
          </cell>
          <cell r="T1">
            <v>43938</v>
          </cell>
          <cell r="U1">
            <v>43939</v>
          </cell>
          <cell r="V1">
            <v>43940</v>
          </cell>
          <cell r="W1">
            <v>43941</v>
          </cell>
          <cell r="X1">
            <v>43942</v>
          </cell>
          <cell r="Y1">
            <v>43943</v>
          </cell>
          <cell r="Z1">
            <v>43944</v>
          </cell>
          <cell r="AA1">
            <v>43945</v>
          </cell>
          <cell r="AB1">
            <v>43946</v>
          </cell>
          <cell r="AC1">
            <v>43947</v>
          </cell>
          <cell r="AD1">
            <v>43948</v>
          </cell>
          <cell r="AE1">
            <v>43949</v>
          </cell>
          <cell r="AF1">
            <v>43950</v>
          </cell>
          <cell r="AG1">
            <v>43951</v>
          </cell>
          <cell r="AH1" t="str">
            <v/>
          </cell>
        </row>
        <row r="2">
          <cell r="D2">
            <v>43922</v>
          </cell>
          <cell r="E2">
            <v>43923</v>
          </cell>
          <cell r="F2">
            <v>43924</v>
          </cell>
          <cell r="G2">
            <v>43925</v>
          </cell>
          <cell r="H2">
            <v>43926</v>
          </cell>
          <cell r="I2">
            <v>43927</v>
          </cell>
          <cell r="J2">
            <v>43928</v>
          </cell>
          <cell r="K2">
            <v>43929</v>
          </cell>
          <cell r="L2">
            <v>43930</v>
          </cell>
          <cell r="M2">
            <v>43931</v>
          </cell>
          <cell r="N2">
            <v>43932</v>
          </cell>
          <cell r="O2">
            <v>43933</v>
          </cell>
          <cell r="P2">
            <v>43934</v>
          </cell>
          <cell r="Q2">
            <v>43935</v>
          </cell>
          <cell r="R2">
            <v>43936</v>
          </cell>
          <cell r="S2">
            <v>43937</v>
          </cell>
          <cell r="T2">
            <v>43938</v>
          </cell>
          <cell r="U2">
            <v>43939</v>
          </cell>
          <cell r="V2">
            <v>43940</v>
          </cell>
          <cell r="W2">
            <v>43941</v>
          </cell>
          <cell r="X2">
            <v>43942</v>
          </cell>
          <cell r="Y2">
            <v>43943</v>
          </cell>
          <cell r="Z2">
            <v>43944</v>
          </cell>
          <cell r="AA2">
            <v>43945</v>
          </cell>
          <cell r="AB2">
            <v>43946</v>
          </cell>
          <cell r="AC2">
            <v>43947</v>
          </cell>
          <cell r="AD2">
            <v>43948</v>
          </cell>
          <cell r="AE2">
            <v>43949</v>
          </cell>
          <cell r="AF2">
            <v>43950</v>
          </cell>
          <cell r="AG2">
            <v>43951</v>
          </cell>
          <cell r="AH2" t="str">
            <v/>
          </cell>
        </row>
        <row r="3">
          <cell r="D3" t="str">
            <v>大橋</v>
          </cell>
          <cell r="E3" t="str">
            <v>齊藤</v>
          </cell>
          <cell r="F3" t="str">
            <v>清水</v>
          </cell>
          <cell r="G3" t="str">
            <v>加藤</v>
          </cell>
          <cell r="H3" t="str">
            <v>澤野</v>
          </cell>
          <cell r="I3" t="str">
            <v>山村</v>
          </cell>
          <cell r="J3" t="str">
            <v>大橋</v>
          </cell>
          <cell r="K3" t="str">
            <v>澤野</v>
          </cell>
          <cell r="L3" t="str">
            <v>南</v>
          </cell>
          <cell r="M3" t="str">
            <v>中村</v>
          </cell>
          <cell r="N3" t="str">
            <v>中井</v>
          </cell>
          <cell r="O3" t="str">
            <v>山本</v>
          </cell>
          <cell r="P3" t="str">
            <v>齊藤</v>
          </cell>
          <cell r="Q3" t="str">
            <v>山下</v>
          </cell>
          <cell r="R3" t="str">
            <v>加藤</v>
          </cell>
          <cell r="S3" t="str">
            <v>佐藤恵</v>
          </cell>
          <cell r="T3" t="str">
            <v>山村</v>
          </cell>
          <cell r="U3" t="str">
            <v>南</v>
          </cell>
          <cell r="V3" t="str">
            <v>長田</v>
          </cell>
          <cell r="W3" t="str">
            <v>大橋</v>
          </cell>
          <cell r="X3" t="str">
            <v>清水</v>
          </cell>
          <cell r="Y3" t="str">
            <v>山本</v>
          </cell>
          <cell r="Z3" t="str">
            <v>山村</v>
          </cell>
          <cell r="AA3" t="str">
            <v>田村</v>
          </cell>
          <cell r="AB3" t="str">
            <v>庵</v>
          </cell>
          <cell r="AC3" t="str">
            <v>加藤</v>
          </cell>
          <cell r="AD3" t="str">
            <v>中村</v>
          </cell>
          <cell r="AE3" t="str">
            <v>山下</v>
          </cell>
          <cell r="AF3" t="str">
            <v>山本</v>
          </cell>
          <cell r="AG3" t="str">
            <v>山村</v>
          </cell>
          <cell r="AH3" t="str">
            <v/>
          </cell>
        </row>
        <row r="4">
          <cell r="D4" t="str">
            <v>村崎</v>
          </cell>
          <cell r="E4" t="str">
            <v>庵</v>
          </cell>
          <cell r="F4" t="str">
            <v>長田</v>
          </cell>
          <cell r="G4" t="str">
            <v>西郡</v>
          </cell>
          <cell r="H4" t="str">
            <v>佐藤恵</v>
          </cell>
          <cell r="I4" t="str">
            <v>田村</v>
          </cell>
          <cell r="J4" t="str">
            <v>平田恵</v>
          </cell>
          <cell r="K4" t="str">
            <v>佐藤穂</v>
          </cell>
          <cell r="L4" t="str">
            <v>薬司</v>
          </cell>
          <cell r="M4" t="str">
            <v>本田</v>
          </cell>
          <cell r="N4" t="str">
            <v>大橋</v>
          </cell>
          <cell r="O4" t="str">
            <v>山田</v>
          </cell>
          <cell r="P4" t="str">
            <v>庵</v>
          </cell>
          <cell r="Q4" t="str">
            <v>田村</v>
          </cell>
          <cell r="R4" t="str">
            <v>龍野</v>
          </cell>
          <cell r="S4" t="str">
            <v>村崎</v>
          </cell>
          <cell r="T4" t="str">
            <v>西郡</v>
          </cell>
          <cell r="U4" t="str">
            <v>田村</v>
          </cell>
          <cell r="V4" t="str">
            <v>庵</v>
          </cell>
          <cell r="W4" t="str">
            <v>平田恵</v>
          </cell>
          <cell r="X4" t="str">
            <v>山田</v>
          </cell>
          <cell r="Y4" t="str">
            <v>澤野</v>
          </cell>
          <cell r="Z4" t="str">
            <v>大橋</v>
          </cell>
          <cell r="AA4" t="str">
            <v>齊藤</v>
          </cell>
          <cell r="AB4" t="str">
            <v>佐藤穂</v>
          </cell>
          <cell r="AC4" t="str">
            <v>本田</v>
          </cell>
          <cell r="AD4" t="str">
            <v>村崎</v>
          </cell>
          <cell r="AE4" t="str">
            <v>北</v>
          </cell>
          <cell r="AF4" t="str">
            <v>龍野</v>
          </cell>
          <cell r="AG4" t="str">
            <v>加藤</v>
          </cell>
          <cell r="AH4" t="str">
            <v/>
          </cell>
        </row>
      </sheetData>
      <sheetData sheetId="8">
        <row r="1">
          <cell r="D1">
            <v>43922</v>
          </cell>
          <cell r="E1">
            <v>43923</v>
          </cell>
          <cell r="F1">
            <v>43924</v>
          </cell>
          <cell r="G1">
            <v>43925</v>
          </cell>
          <cell r="H1">
            <v>43926</v>
          </cell>
          <cell r="I1">
            <v>43927</v>
          </cell>
          <cell r="J1">
            <v>43928</v>
          </cell>
          <cell r="K1">
            <v>43929</v>
          </cell>
          <cell r="L1">
            <v>43930</v>
          </cell>
          <cell r="M1">
            <v>43931</v>
          </cell>
          <cell r="N1">
            <v>43932</v>
          </cell>
          <cell r="O1">
            <v>43933</v>
          </cell>
          <cell r="P1">
            <v>43934</v>
          </cell>
          <cell r="Q1">
            <v>43935</v>
          </cell>
          <cell r="R1">
            <v>43936</v>
          </cell>
          <cell r="S1">
            <v>43937</v>
          </cell>
          <cell r="T1">
            <v>43938</v>
          </cell>
          <cell r="U1">
            <v>43939</v>
          </cell>
          <cell r="V1">
            <v>43940</v>
          </cell>
          <cell r="W1">
            <v>43941</v>
          </cell>
          <cell r="X1">
            <v>43942</v>
          </cell>
          <cell r="Y1">
            <v>43943</v>
          </cell>
          <cell r="Z1">
            <v>43944</v>
          </cell>
          <cell r="AA1">
            <v>43945</v>
          </cell>
          <cell r="AB1">
            <v>43946</v>
          </cell>
          <cell r="AC1">
            <v>43947</v>
          </cell>
          <cell r="AD1">
            <v>43948</v>
          </cell>
          <cell r="AE1">
            <v>43949</v>
          </cell>
          <cell r="AF1">
            <v>43950</v>
          </cell>
          <cell r="AG1">
            <v>43951</v>
          </cell>
          <cell r="AH1" t="str">
            <v/>
          </cell>
        </row>
        <row r="2">
          <cell r="D2">
            <v>43922</v>
          </cell>
          <cell r="E2">
            <v>43923</v>
          </cell>
          <cell r="F2">
            <v>43924</v>
          </cell>
          <cell r="G2">
            <v>43925</v>
          </cell>
          <cell r="H2">
            <v>43926</v>
          </cell>
          <cell r="I2">
            <v>43927</v>
          </cell>
          <cell r="J2">
            <v>43928</v>
          </cell>
          <cell r="K2">
            <v>43929</v>
          </cell>
          <cell r="L2">
            <v>43930</v>
          </cell>
          <cell r="M2">
            <v>43931</v>
          </cell>
          <cell r="N2">
            <v>43932</v>
          </cell>
          <cell r="O2">
            <v>43933</v>
          </cell>
          <cell r="P2">
            <v>43934</v>
          </cell>
          <cell r="Q2">
            <v>43935</v>
          </cell>
          <cell r="R2">
            <v>43936</v>
          </cell>
          <cell r="S2">
            <v>43937</v>
          </cell>
          <cell r="T2">
            <v>43938</v>
          </cell>
          <cell r="U2">
            <v>43939</v>
          </cell>
          <cell r="V2">
            <v>43940</v>
          </cell>
          <cell r="W2">
            <v>43941</v>
          </cell>
          <cell r="X2">
            <v>43942</v>
          </cell>
          <cell r="Y2">
            <v>43943</v>
          </cell>
          <cell r="Z2">
            <v>43944</v>
          </cell>
          <cell r="AA2">
            <v>43945</v>
          </cell>
          <cell r="AB2">
            <v>43946</v>
          </cell>
          <cell r="AC2">
            <v>43947</v>
          </cell>
          <cell r="AD2">
            <v>43948</v>
          </cell>
          <cell r="AE2">
            <v>43949</v>
          </cell>
          <cell r="AF2">
            <v>43950</v>
          </cell>
          <cell r="AG2">
            <v>43951</v>
          </cell>
          <cell r="AH2" t="str">
            <v/>
          </cell>
        </row>
        <row r="3">
          <cell r="D3" t="str">
            <v>中村</v>
          </cell>
          <cell r="E3" t="str">
            <v>加藤</v>
          </cell>
          <cell r="F3" t="str">
            <v>山村</v>
          </cell>
          <cell r="G3" t="str">
            <v>大畑</v>
          </cell>
          <cell r="H3" t="str">
            <v>宮崎</v>
          </cell>
          <cell r="I3" t="str">
            <v>平田真</v>
          </cell>
          <cell r="J3" t="str">
            <v>山村</v>
          </cell>
          <cell r="K3" t="str">
            <v>谷口</v>
          </cell>
          <cell r="L3" t="str">
            <v>澤野</v>
          </cell>
          <cell r="M3" t="str">
            <v>大畑</v>
          </cell>
          <cell r="N3" t="str">
            <v>大畑</v>
          </cell>
          <cell r="O3" t="str">
            <v>宮崎</v>
          </cell>
          <cell r="P3" t="str">
            <v>佐藤穂</v>
          </cell>
          <cell r="Q3" t="str">
            <v>中井</v>
          </cell>
          <cell r="R3" t="str">
            <v>山本</v>
          </cell>
          <cell r="S3" t="str">
            <v>大橋</v>
          </cell>
          <cell r="T3" t="str">
            <v>澤野</v>
          </cell>
          <cell r="U3" t="str">
            <v>大畑</v>
          </cell>
          <cell r="V3" t="str">
            <v>宮崎</v>
          </cell>
          <cell r="W3" t="str">
            <v>長田</v>
          </cell>
          <cell r="X3" t="str">
            <v>南</v>
          </cell>
          <cell r="Y3" t="str">
            <v>庵</v>
          </cell>
          <cell r="Z3" t="str">
            <v>山本</v>
          </cell>
          <cell r="AA3" t="str">
            <v>平田真</v>
          </cell>
          <cell r="AB3" t="str">
            <v>大畑</v>
          </cell>
          <cell r="AC3" t="str">
            <v>宮崎</v>
          </cell>
          <cell r="AD3" t="str">
            <v>村中</v>
          </cell>
          <cell r="AE3" t="str">
            <v>大畑</v>
          </cell>
          <cell r="AF3" t="str">
            <v>宮崎</v>
          </cell>
          <cell r="AG3" t="str">
            <v>田村</v>
          </cell>
          <cell r="AH3" t="str">
            <v/>
          </cell>
        </row>
        <row r="4">
          <cell r="D4" t="str">
            <v>村中</v>
          </cell>
          <cell r="E4" t="str">
            <v>龍野</v>
          </cell>
          <cell r="F4" t="str">
            <v>村崎</v>
          </cell>
          <cell r="G4" t="str">
            <v>谷口</v>
          </cell>
          <cell r="H4" t="str">
            <v>山下</v>
          </cell>
          <cell r="I4" t="str">
            <v>佐藤恵</v>
          </cell>
          <cell r="J4" t="str">
            <v>加藤</v>
          </cell>
          <cell r="K4" t="str">
            <v>村中</v>
          </cell>
          <cell r="L4" t="str">
            <v>大畑</v>
          </cell>
          <cell r="M4" t="str">
            <v>村中</v>
          </cell>
          <cell r="N4" t="str">
            <v>谷口</v>
          </cell>
          <cell r="O4" t="str">
            <v>山下</v>
          </cell>
          <cell r="P4" t="str">
            <v>村中</v>
          </cell>
          <cell r="Q4" t="str">
            <v>大橋</v>
          </cell>
          <cell r="R4" t="str">
            <v>山田</v>
          </cell>
          <cell r="S4" t="str">
            <v>齊藤</v>
          </cell>
          <cell r="T4" t="str">
            <v>加藤</v>
          </cell>
          <cell r="U4" t="str">
            <v>谷口</v>
          </cell>
          <cell r="V4" t="str">
            <v>奥</v>
          </cell>
          <cell r="W4" t="str">
            <v>薬司</v>
          </cell>
          <cell r="X4" t="str">
            <v>田村</v>
          </cell>
          <cell r="Y4" t="str">
            <v>佐藤穂</v>
          </cell>
          <cell r="Z4" t="str">
            <v>平田恵</v>
          </cell>
          <cell r="AA4" t="str">
            <v>大畑</v>
          </cell>
          <cell r="AB4" t="str">
            <v>谷口</v>
          </cell>
          <cell r="AC4" t="str">
            <v>奥</v>
          </cell>
          <cell r="AD4" t="str">
            <v>阪井田</v>
          </cell>
          <cell r="AE4" t="str">
            <v>谷口</v>
          </cell>
          <cell r="AF4" t="str">
            <v>奥</v>
          </cell>
          <cell r="AG4" t="str">
            <v>大畑</v>
          </cell>
          <cell r="AH4" t="str">
            <v/>
          </cell>
        </row>
        <row r="5">
          <cell r="D5" t="str">
            <v>阪井田</v>
          </cell>
          <cell r="E5" t="str">
            <v>大畑</v>
          </cell>
          <cell r="F5" t="str">
            <v>大畑</v>
          </cell>
          <cell r="G5" t="str">
            <v>村中</v>
          </cell>
          <cell r="H5" t="str">
            <v>殿田</v>
          </cell>
          <cell r="I5" t="str">
            <v>谷口</v>
          </cell>
          <cell r="J5" t="str">
            <v>西郡</v>
          </cell>
          <cell r="K5" t="str">
            <v>阪井田</v>
          </cell>
          <cell r="L5" t="str">
            <v>村中</v>
          </cell>
          <cell r="M5" t="str">
            <v/>
          </cell>
          <cell r="N5" t="str">
            <v>村中</v>
          </cell>
          <cell r="O5" t="str">
            <v>山村</v>
          </cell>
          <cell r="P5" t="str">
            <v>阪井田</v>
          </cell>
          <cell r="Q5" t="str">
            <v>大畑</v>
          </cell>
          <cell r="R5" t="str">
            <v>谷口</v>
          </cell>
          <cell r="S5" t="str">
            <v>庵</v>
          </cell>
          <cell r="T5" t="str">
            <v>大畑</v>
          </cell>
          <cell r="U5" t="str">
            <v>村中</v>
          </cell>
          <cell r="V5" t="str">
            <v>山下</v>
          </cell>
          <cell r="W5" t="str">
            <v>村中</v>
          </cell>
          <cell r="X5" t="str">
            <v>庵</v>
          </cell>
          <cell r="Y5" t="str">
            <v>谷口</v>
          </cell>
          <cell r="Z5" t="str">
            <v>本田</v>
          </cell>
          <cell r="AA5" t="str">
            <v>村中</v>
          </cell>
          <cell r="AB5" t="str">
            <v>村中</v>
          </cell>
          <cell r="AC5" t="str">
            <v>山下</v>
          </cell>
          <cell r="AD5" t="str">
            <v/>
          </cell>
          <cell r="AE5" t="str">
            <v>村中</v>
          </cell>
          <cell r="AF5" t="str">
            <v>山下</v>
          </cell>
          <cell r="AG5" t="str">
            <v>谷口</v>
          </cell>
          <cell r="AH5" t="str">
            <v/>
          </cell>
        </row>
        <row r="6">
          <cell r="D6" t="str">
            <v/>
          </cell>
          <cell r="E6" t="str">
            <v>村中</v>
          </cell>
          <cell r="F6" t="str">
            <v>谷口</v>
          </cell>
          <cell r="G6" t="str">
            <v>阪井田</v>
          </cell>
          <cell r="H6" t="str">
            <v>森本</v>
          </cell>
          <cell r="I6" t="str">
            <v>村中</v>
          </cell>
          <cell r="J6" t="str">
            <v>大畑</v>
          </cell>
          <cell r="K6" t="str">
            <v/>
          </cell>
          <cell r="L6" t="str">
            <v>阪井田</v>
          </cell>
          <cell r="M6" t="str">
            <v/>
          </cell>
          <cell r="N6" t="str">
            <v>阪井田</v>
          </cell>
          <cell r="O6" t="str">
            <v>殿田</v>
          </cell>
          <cell r="P6" t="str">
            <v/>
          </cell>
          <cell r="Q6" t="str">
            <v>谷口</v>
          </cell>
          <cell r="R6" t="str">
            <v>村中</v>
          </cell>
          <cell r="S6" t="str">
            <v>大畑</v>
          </cell>
          <cell r="T6" t="str">
            <v>村中</v>
          </cell>
          <cell r="U6" t="str">
            <v>阪井田</v>
          </cell>
          <cell r="V6" t="str">
            <v>山村</v>
          </cell>
          <cell r="W6" t="str">
            <v>阪井田</v>
          </cell>
          <cell r="X6" t="str">
            <v>大畑</v>
          </cell>
          <cell r="Y6" t="str">
            <v>村中</v>
          </cell>
          <cell r="Z6" t="str">
            <v>大畑</v>
          </cell>
          <cell r="AA6" t="str">
            <v>阪井田</v>
          </cell>
          <cell r="AB6" t="str">
            <v>阪井田</v>
          </cell>
          <cell r="AC6" t="str">
            <v>山村</v>
          </cell>
          <cell r="AD6" t="str">
            <v/>
          </cell>
          <cell r="AE6" t="str">
            <v/>
          </cell>
          <cell r="AF6" t="str">
            <v>殿田</v>
          </cell>
          <cell r="AG6" t="str">
            <v>村中</v>
          </cell>
          <cell r="AH6" t="str">
            <v/>
          </cell>
        </row>
        <row r="7">
          <cell r="D7" t="str">
            <v/>
          </cell>
          <cell r="E7" t="str">
            <v>阪井田</v>
          </cell>
          <cell r="F7" t="str">
            <v>村中</v>
          </cell>
          <cell r="G7" t="str">
            <v>木田</v>
          </cell>
          <cell r="H7" t="str">
            <v>中井</v>
          </cell>
          <cell r="I7" t="str">
            <v>阪井田</v>
          </cell>
          <cell r="J7" t="str">
            <v>谷口</v>
          </cell>
          <cell r="K7" t="str">
            <v/>
          </cell>
          <cell r="L7" t="str">
            <v/>
          </cell>
          <cell r="M7" t="str">
            <v/>
          </cell>
          <cell r="N7" t="str">
            <v>木田</v>
          </cell>
          <cell r="O7" t="str">
            <v>森本</v>
          </cell>
          <cell r="P7" t="str">
            <v/>
          </cell>
          <cell r="Q7" t="str">
            <v>村中</v>
          </cell>
          <cell r="R7" t="str">
            <v>阪井田</v>
          </cell>
          <cell r="S7" t="str">
            <v>谷口</v>
          </cell>
          <cell r="T7" t="str">
            <v/>
          </cell>
          <cell r="U7" t="str">
            <v>木田</v>
          </cell>
          <cell r="V7" t="str">
            <v>殿田</v>
          </cell>
          <cell r="W7" t="str">
            <v/>
          </cell>
          <cell r="X7" t="str">
            <v>谷口</v>
          </cell>
          <cell r="Y7" t="str">
            <v>阪井田</v>
          </cell>
          <cell r="Z7" t="str">
            <v>谷口</v>
          </cell>
          <cell r="AA7" t="str">
            <v/>
          </cell>
          <cell r="AB7" t="str">
            <v>木田</v>
          </cell>
          <cell r="AC7" t="str">
            <v>殿田</v>
          </cell>
          <cell r="AD7" t="str">
            <v/>
          </cell>
          <cell r="AE7" t="str">
            <v/>
          </cell>
          <cell r="AF7" t="str">
            <v>森本</v>
          </cell>
          <cell r="AG7" t="str">
            <v>阪井田</v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>阪井田</v>
          </cell>
          <cell r="G8" t="str">
            <v/>
          </cell>
          <cell r="H8" t="str">
            <v>北</v>
          </cell>
          <cell r="I8" t="str">
            <v/>
          </cell>
          <cell r="J8" t="str">
            <v>村中</v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>中井</v>
          </cell>
          <cell r="P8" t="str">
            <v/>
          </cell>
          <cell r="Q8" t="str">
            <v/>
          </cell>
          <cell r="R8" t="str">
            <v/>
          </cell>
          <cell r="S8" t="str">
            <v>村中</v>
          </cell>
          <cell r="T8" t="str">
            <v/>
          </cell>
          <cell r="U8" t="str">
            <v/>
          </cell>
          <cell r="V8" t="str">
            <v>森本</v>
          </cell>
          <cell r="W8" t="str">
            <v/>
          </cell>
          <cell r="X8" t="str">
            <v>村中</v>
          </cell>
          <cell r="Y8" t="str">
            <v/>
          </cell>
          <cell r="Z8" t="str">
            <v>村中</v>
          </cell>
          <cell r="AA8" t="str">
            <v/>
          </cell>
          <cell r="AB8" t="str">
            <v/>
          </cell>
          <cell r="AC8" t="str">
            <v>森本</v>
          </cell>
          <cell r="AD8" t="str">
            <v/>
          </cell>
          <cell r="AE8" t="str">
            <v/>
          </cell>
          <cell r="AF8" t="str">
            <v>中井</v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>中村</v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>北</v>
          </cell>
          <cell r="P9" t="str">
            <v/>
          </cell>
          <cell r="Q9" t="str">
            <v/>
          </cell>
          <cell r="R9" t="str">
            <v/>
          </cell>
          <cell r="S9" t="str">
            <v>阪井田</v>
          </cell>
          <cell r="T9" t="str">
            <v/>
          </cell>
          <cell r="U9" t="str">
            <v/>
          </cell>
          <cell r="V9" t="str">
            <v>中井</v>
          </cell>
          <cell r="W9" t="str">
            <v/>
          </cell>
          <cell r="X9" t="str">
            <v/>
          </cell>
          <cell r="Y9" t="str">
            <v/>
          </cell>
          <cell r="Z9" t="str">
            <v>阪井田</v>
          </cell>
          <cell r="AA9" t="str">
            <v/>
          </cell>
          <cell r="AB9" t="str">
            <v/>
          </cell>
          <cell r="AC9" t="str">
            <v>中井</v>
          </cell>
          <cell r="AD9" t="str">
            <v/>
          </cell>
          <cell r="AE9" t="str">
            <v/>
          </cell>
          <cell r="AF9" t="str">
            <v>北</v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>大橋</v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>中村</v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>北</v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>北</v>
          </cell>
          <cell r="AD10" t="str">
            <v/>
          </cell>
          <cell r="AE10" t="str">
            <v/>
          </cell>
          <cell r="AF10" t="str">
            <v>中村</v>
          </cell>
          <cell r="AG10" t="str">
            <v/>
          </cell>
          <cell r="AH10" t="str">
            <v/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D1">
            <v>43952</v>
          </cell>
          <cell r="E1">
            <v>43953</v>
          </cell>
          <cell r="F1">
            <v>43954</v>
          </cell>
          <cell r="G1">
            <v>43955</v>
          </cell>
          <cell r="H1">
            <v>43956</v>
          </cell>
          <cell r="I1">
            <v>43957</v>
          </cell>
          <cell r="J1">
            <v>43958</v>
          </cell>
          <cell r="K1">
            <v>43959</v>
          </cell>
          <cell r="L1">
            <v>43960</v>
          </cell>
          <cell r="M1">
            <v>43961</v>
          </cell>
          <cell r="N1">
            <v>43962</v>
          </cell>
          <cell r="O1">
            <v>43963</v>
          </cell>
          <cell r="P1">
            <v>43964</v>
          </cell>
          <cell r="Q1">
            <v>43965</v>
          </cell>
          <cell r="R1">
            <v>43966</v>
          </cell>
          <cell r="S1">
            <v>43967</v>
          </cell>
          <cell r="T1">
            <v>43968</v>
          </cell>
          <cell r="U1">
            <v>43969</v>
          </cell>
          <cell r="V1">
            <v>43970</v>
          </cell>
          <cell r="W1">
            <v>43971</v>
          </cell>
          <cell r="X1">
            <v>43972</v>
          </cell>
          <cell r="Y1">
            <v>43973</v>
          </cell>
          <cell r="Z1">
            <v>43974</v>
          </cell>
          <cell r="AA1">
            <v>43975</v>
          </cell>
          <cell r="AB1">
            <v>43976</v>
          </cell>
          <cell r="AC1">
            <v>43977</v>
          </cell>
          <cell r="AD1">
            <v>43978</v>
          </cell>
          <cell r="AE1">
            <v>43979</v>
          </cell>
          <cell r="AF1">
            <v>43980</v>
          </cell>
          <cell r="AG1">
            <v>43981</v>
          </cell>
          <cell r="AH1">
            <v>43982</v>
          </cell>
        </row>
        <row r="2">
          <cell r="D2">
            <v>43952</v>
          </cell>
          <cell r="E2">
            <v>43953</v>
          </cell>
          <cell r="F2">
            <v>43954</v>
          </cell>
          <cell r="G2">
            <v>43955</v>
          </cell>
          <cell r="H2">
            <v>43956</v>
          </cell>
          <cell r="I2">
            <v>43957</v>
          </cell>
          <cell r="J2">
            <v>43958</v>
          </cell>
          <cell r="K2">
            <v>43959</v>
          </cell>
          <cell r="L2">
            <v>43960</v>
          </cell>
          <cell r="M2">
            <v>43961</v>
          </cell>
          <cell r="N2">
            <v>43962</v>
          </cell>
          <cell r="O2">
            <v>43963</v>
          </cell>
          <cell r="P2">
            <v>43964</v>
          </cell>
          <cell r="Q2">
            <v>43965</v>
          </cell>
          <cell r="R2">
            <v>43966</v>
          </cell>
          <cell r="S2">
            <v>43967</v>
          </cell>
          <cell r="T2">
            <v>43968</v>
          </cell>
          <cell r="U2">
            <v>43969</v>
          </cell>
          <cell r="V2">
            <v>43970</v>
          </cell>
          <cell r="W2">
            <v>43971</v>
          </cell>
          <cell r="X2">
            <v>43972</v>
          </cell>
          <cell r="Y2">
            <v>43973</v>
          </cell>
          <cell r="Z2">
            <v>43974</v>
          </cell>
          <cell r="AA2">
            <v>43975</v>
          </cell>
          <cell r="AB2">
            <v>43976</v>
          </cell>
          <cell r="AC2">
            <v>43977</v>
          </cell>
          <cell r="AD2">
            <v>43978</v>
          </cell>
          <cell r="AE2">
            <v>43979</v>
          </cell>
          <cell r="AF2">
            <v>43980</v>
          </cell>
          <cell r="AG2">
            <v>43981</v>
          </cell>
          <cell r="AH2">
            <v>43982</v>
          </cell>
        </row>
        <row r="3">
          <cell r="D3" t="str">
            <v>平田恵</v>
          </cell>
          <cell r="E3" t="str">
            <v>山本</v>
          </cell>
          <cell r="F3" t="str">
            <v>大橋</v>
          </cell>
          <cell r="G3" t="str">
            <v>南</v>
          </cell>
          <cell r="H3" t="str">
            <v>清水</v>
          </cell>
          <cell r="I3" t="str">
            <v>大橋</v>
          </cell>
          <cell r="J3" t="str">
            <v>長田</v>
          </cell>
          <cell r="K3" t="str">
            <v>田村</v>
          </cell>
          <cell r="L3" t="str">
            <v>中村</v>
          </cell>
          <cell r="M3" t="str">
            <v>加藤</v>
          </cell>
          <cell r="N3" t="str">
            <v>山下</v>
          </cell>
          <cell r="O3" t="str">
            <v>大橋</v>
          </cell>
          <cell r="P3" t="str">
            <v>山村</v>
          </cell>
          <cell r="Q3" t="str">
            <v>山本</v>
          </cell>
          <cell r="R3" t="str">
            <v>山田</v>
          </cell>
          <cell r="S3" t="str">
            <v>平田恵</v>
          </cell>
          <cell r="T3" t="str">
            <v>大橋</v>
          </cell>
          <cell r="U3" t="str">
            <v>長田</v>
          </cell>
          <cell r="V3" t="str">
            <v>加藤</v>
          </cell>
          <cell r="W3" t="str">
            <v>南</v>
          </cell>
          <cell r="X3" t="str">
            <v>田村</v>
          </cell>
          <cell r="Y3" t="str">
            <v>澤野</v>
          </cell>
          <cell r="Z3" t="str">
            <v>中井</v>
          </cell>
          <cell r="AA3" t="str">
            <v>山下</v>
          </cell>
          <cell r="AB3" t="str">
            <v>清水</v>
          </cell>
          <cell r="AC3" t="str">
            <v>山村</v>
          </cell>
          <cell r="AD3" t="str">
            <v>中村</v>
          </cell>
          <cell r="AE3" t="str">
            <v>長田</v>
          </cell>
          <cell r="AF3" t="str">
            <v>山田</v>
          </cell>
          <cell r="AG3" t="str">
            <v>山下</v>
          </cell>
          <cell r="AH3" t="str">
            <v>大橋</v>
          </cell>
        </row>
        <row r="4">
          <cell r="D4" t="str">
            <v>長田</v>
          </cell>
          <cell r="E4" t="str">
            <v>西郡</v>
          </cell>
          <cell r="F4" t="str">
            <v>澤野</v>
          </cell>
          <cell r="G4" t="str">
            <v>薬司</v>
          </cell>
          <cell r="H4" t="str">
            <v>佐藤恵</v>
          </cell>
          <cell r="I4" t="str">
            <v>山田</v>
          </cell>
          <cell r="J4" t="str">
            <v>佐藤穂</v>
          </cell>
          <cell r="K4" t="str">
            <v>齊藤</v>
          </cell>
          <cell r="L4" t="str">
            <v>庵</v>
          </cell>
          <cell r="M4" t="str">
            <v>本田</v>
          </cell>
          <cell r="N4" t="str">
            <v>西郡</v>
          </cell>
          <cell r="O4" t="str">
            <v>南</v>
          </cell>
          <cell r="P4" t="str">
            <v>佐藤恵</v>
          </cell>
          <cell r="Q4" t="str">
            <v>龍野</v>
          </cell>
          <cell r="R4" t="str">
            <v>薬司</v>
          </cell>
          <cell r="S4" t="str">
            <v>田村</v>
          </cell>
          <cell r="T4" t="str">
            <v>澤野</v>
          </cell>
          <cell r="U4" t="str">
            <v>本田</v>
          </cell>
          <cell r="V4" t="str">
            <v>佐藤穂</v>
          </cell>
          <cell r="W4" t="str">
            <v>平田恵</v>
          </cell>
          <cell r="X4" t="str">
            <v>西郡</v>
          </cell>
          <cell r="Y4" t="str">
            <v>清水</v>
          </cell>
          <cell r="Z4" t="str">
            <v>齊藤</v>
          </cell>
          <cell r="AA4" t="str">
            <v>山田</v>
          </cell>
          <cell r="AB4" t="str">
            <v>庵</v>
          </cell>
          <cell r="AC4" t="str">
            <v>山本</v>
          </cell>
          <cell r="AD4" t="str">
            <v>佐藤恵</v>
          </cell>
          <cell r="AE4" t="str">
            <v>薬司</v>
          </cell>
          <cell r="AF4" t="str">
            <v>龍野</v>
          </cell>
          <cell r="AG4" t="str">
            <v>本田</v>
          </cell>
          <cell r="AH4" t="str">
            <v>佐藤穂</v>
          </cell>
        </row>
      </sheetData>
      <sheetData sheetId="8">
        <row r="1">
          <cell r="D1">
            <v>43952</v>
          </cell>
          <cell r="E1">
            <v>43953</v>
          </cell>
          <cell r="F1">
            <v>43954</v>
          </cell>
          <cell r="G1">
            <v>43955</v>
          </cell>
          <cell r="H1">
            <v>43956</v>
          </cell>
          <cell r="I1">
            <v>43957</v>
          </cell>
          <cell r="J1">
            <v>43958</v>
          </cell>
          <cell r="K1">
            <v>43959</v>
          </cell>
          <cell r="L1">
            <v>43960</v>
          </cell>
          <cell r="M1">
            <v>43961</v>
          </cell>
          <cell r="N1">
            <v>43962</v>
          </cell>
          <cell r="O1">
            <v>43963</v>
          </cell>
          <cell r="P1">
            <v>43964</v>
          </cell>
          <cell r="Q1">
            <v>43965</v>
          </cell>
          <cell r="R1">
            <v>43966</v>
          </cell>
          <cell r="S1">
            <v>43967</v>
          </cell>
          <cell r="T1">
            <v>43968</v>
          </cell>
          <cell r="U1">
            <v>43969</v>
          </cell>
          <cell r="V1">
            <v>43970</v>
          </cell>
          <cell r="W1">
            <v>43971</v>
          </cell>
          <cell r="X1">
            <v>43972</v>
          </cell>
          <cell r="Y1">
            <v>43973</v>
          </cell>
          <cell r="Z1">
            <v>43974</v>
          </cell>
          <cell r="AA1">
            <v>43975</v>
          </cell>
          <cell r="AB1">
            <v>43976</v>
          </cell>
          <cell r="AC1">
            <v>43977</v>
          </cell>
          <cell r="AD1">
            <v>43978</v>
          </cell>
          <cell r="AE1">
            <v>43979</v>
          </cell>
          <cell r="AF1">
            <v>43980</v>
          </cell>
          <cell r="AG1">
            <v>43981</v>
          </cell>
          <cell r="AH1">
            <v>43982</v>
          </cell>
        </row>
        <row r="2">
          <cell r="D2">
            <v>43952</v>
          </cell>
          <cell r="E2">
            <v>43953</v>
          </cell>
          <cell r="F2">
            <v>43954</v>
          </cell>
          <cell r="G2">
            <v>43955</v>
          </cell>
          <cell r="H2">
            <v>43956</v>
          </cell>
          <cell r="I2">
            <v>43957</v>
          </cell>
          <cell r="J2">
            <v>43958</v>
          </cell>
          <cell r="K2">
            <v>43959</v>
          </cell>
          <cell r="L2">
            <v>43960</v>
          </cell>
          <cell r="M2">
            <v>43961</v>
          </cell>
          <cell r="N2">
            <v>43962</v>
          </cell>
          <cell r="O2">
            <v>43963</v>
          </cell>
          <cell r="P2">
            <v>43964</v>
          </cell>
          <cell r="Q2">
            <v>43965</v>
          </cell>
          <cell r="R2">
            <v>43966</v>
          </cell>
          <cell r="S2">
            <v>43967</v>
          </cell>
          <cell r="T2">
            <v>43968</v>
          </cell>
          <cell r="U2">
            <v>43969</v>
          </cell>
          <cell r="V2">
            <v>43970</v>
          </cell>
          <cell r="W2">
            <v>43971</v>
          </cell>
          <cell r="X2">
            <v>43972</v>
          </cell>
          <cell r="Y2">
            <v>43973</v>
          </cell>
          <cell r="Z2">
            <v>43974</v>
          </cell>
          <cell r="AA2">
            <v>43975</v>
          </cell>
          <cell r="AB2">
            <v>43976</v>
          </cell>
          <cell r="AC2">
            <v>43977</v>
          </cell>
          <cell r="AD2">
            <v>43978</v>
          </cell>
          <cell r="AE2">
            <v>43979</v>
          </cell>
          <cell r="AF2">
            <v>43980</v>
          </cell>
          <cell r="AG2">
            <v>43981</v>
          </cell>
          <cell r="AH2">
            <v>43982</v>
          </cell>
        </row>
        <row r="3">
          <cell r="D3" t="str">
            <v>齊藤</v>
          </cell>
          <cell r="E3" t="str">
            <v>大畑</v>
          </cell>
          <cell r="F3" t="str">
            <v>宮崎</v>
          </cell>
          <cell r="G3" t="str">
            <v>宮崎</v>
          </cell>
          <cell r="H3" t="str">
            <v>宮崎</v>
          </cell>
          <cell r="I3" t="str">
            <v>宮崎</v>
          </cell>
          <cell r="J3" t="str">
            <v>山下</v>
          </cell>
          <cell r="K3" t="str">
            <v>大橋</v>
          </cell>
          <cell r="L3" t="str">
            <v>大畑</v>
          </cell>
          <cell r="M3" t="str">
            <v>宮崎</v>
          </cell>
          <cell r="N3" t="str">
            <v>本田</v>
          </cell>
          <cell r="O3" t="str">
            <v>本田</v>
          </cell>
          <cell r="P3" t="str">
            <v>南</v>
          </cell>
          <cell r="Q3" t="str">
            <v>大橋</v>
          </cell>
          <cell r="R3" t="str">
            <v>大橋</v>
          </cell>
          <cell r="S3" t="str">
            <v>大畑</v>
          </cell>
          <cell r="T3" t="str">
            <v>宮崎</v>
          </cell>
          <cell r="U3" t="str">
            <v>清水</v>
          </cell>
          <cell r="V3" t="str">
            <v>清水</v>
          </cell>
          <cell r="W3" t="str">
            <v>清水</v>
          </cell>
          <cell r="X3" t="str">
            <v>平田恵</v>
          </cell>
          <cell r="Y3" t="str">
            <v>中村</v>
          </cell>
          <cell r="Z3" t="str">
            <v>大畑</v>
          </cell>
          <cell r="AA3" t="str">
            <v>宮崎</v>
          </cell>
          <cell r="AB3" t="str">
            <v>大橋</v>
          </cell>
          <cell r="AC3" t="str">
            <v>中井</v>
          </cell>
          <cell r="AD3" t="str">
            <v>山下</v>
          </cell>
          <cell r="AE3" t="str">
            <v>山下</v>
          </cell>
          <cell r="AF3" t="str">
            <v>大橋</v>
          </cell>
          <cell r="AG3" t="str">
            <v>大畑</v>
          </cell>
          <cell r="AH3" t="str">
            <v>宮崎</v>
          </cell>
        </row>
        <row r="4">
          <cell r="D4" t="str">
            <v>大畑</v>
          </cell>
          <cell r="E4" t="str">
            <v>谷口</v>
          </cell>
          <cell r="F4" t="str">
            <v>奥</v>
          </cell>
          <cell r="G4" t="str">
            <v>奥</v>
          </cell>
          <cell r="H4" t="str">
            <v>奥</v>
          </cell>
          <cell r="I4" t="str">
            <v>奥</v>
          </cell>
          <cell r="J4" t="str">
            <v>山本</v>
          </cell>
          <cell r="K4" t="str">
            <v>澤野</v>
          </cell>
          <cell r="L4" t="str">
            <v>谷口</v>
          </cell>
          <cell r="M4" t="str">
            <v>奥</v>
          </cell>
          <cell r="N4" t="str">
            <v>龍野</v>
          </cell>
          <cell r="O4" t="str">
            <v>佐藤穂</v>
          </cell>
          <cell r="P4" t="str">
            <v>平田恵</v>
          </cell>
          <cell r="Q4" t="str">
            <v>庵</v>
          </cell>
          <cell r="R4" t="str">
            <v>齊藤</v>
          </cell>
          <cell r="S4" t="str">
            <v>谷口</v>
          </cell>
          <cell r="T4" t="str">
            <v>奥</v>
          </cell>
          <cell r="U4" t="str">
            <v>村中</v>
          </cell>
          <cell r="V4" t="str">
            <v>山田</v>
          </cell>
          <cell r="W4" t="str">
            <v>山田</v>
          </cell>
          <cell r="X4" t="str">
            <v>佐藤穂</v>
          </cell>
          <cell r="Y4" t="str">
            <v>庵</v>
          </cell>
          <cell r="Z4" t="str">
            <v>谷口</v>
          </cell>
          <cell r="AA4" t="str">
            <v>奥</v>
          </cell>
          <cell r="AB4" t="str">
            <v>佐藤恵</v>
          </cell>
          <cell r="AC4" t="str">
            <v>加藤</v>
          </cell>
          <cell r="AD4" t="str">
            <v>南</v>
          </cell>
          <cell r="AE4" t="str">
            <v>平田恵</v>
          </cell>
          <cell r="AF4" t="str">
            <v>澤野</v>
          </cell>
          <cell r="AG4" t="str">
            <v>谷口</v>
          </cell>
          <cell r="AH4" t="str">
            <v>奥</v>
          </cell>
        </row>
        <row r="5">
          <cell r="D5" t="str">
            <v>村中</v>
          </cell>
          <cell r="E5" t="str">
            <v>村中</v>
          </cell>
          <cell r="F5" t="str">
            <v>山下</v>
          </cell>
          <cell r="G5" t="str">
            <v>山下</v>
          </cell>
          <cell r="H5" t="str">
            <v>山下</v>
          </cell>
          <cell r="I5" t="str">
            <v>山下</v>
          </cell>
          <cell r="J5" t="str">
            <v>清水</v>
          </cell>
          <cell r="K5" t="str">
            <v>西郡</v>
          </cell>
          <cell r="L5" t="str">
            <v>村中</v>
          </cell>
          <cell r="M5" t="str">
            <v>山村</v>
          </cell>
          <cell r="N5" t="str">
            <v>村中</v>
          </cell>
          <cell r="O5" t="str">
            <v>薬司</v>
          </cell>
          <cell r="P5" t="str">
            <v>薬司</v>
          </cell>
          <cell r="Q5" t="str">
            <v>佐藤恵</v>
          </cell>
          <cell r="R5" t="str">
            <v>佐藤恵</v>
          </cell>
          <cell r="S5" t="str">
            <v>村中</v>
          </cell>
          <cell r="T5" t="str">
            <v>山下</v>
          </cell>
          <cell r="U5" t="str">
            <v>阪井田</v>
          </cell>
          <cell r="V5" t="str">
            <v>長田</v>
          </cell>
          <cell r="W5" t="str">
            <v>長田</v>
          </cell>
          <cell r="X5" t="str">
            <v>大畑</v>
          </cell>
          <cell r="Y5" t="str">
            <v>加藤</v>
          </cell>
          <cell r="Z5" t="str">
            <v>村中</v>
          </cell>
          <cell r="AA5" t="str">
            <v>山村</v>
          </cell>
          <cell r="AB5" t="str">
            <v>村中</v>
          </cell>
          <cell r="AC5" t="str">
            <v>本田</v>
          </cell>
          <cell r="AD5" t="str">
            <v>山田</v>
          </cell>
          <cell r="AE5" t="str">
            <v>田村</v>
          </cell>
          <cell r="AF5" t="str">
            <v>大畑</v>
          </cell>
          <cell r="AG5" t="str">
            <v>村中</v>
          </cell>
          <cell r="AH5" t="str">
            <v>山下</v>
          </cell>
        </row>
        <row r="6">
          <cell r="D6" t="str">
            <v>阪井田</v>
          </cell>
          <cell r="E6" t="str">
            <v>阪井田</v>
          </cell>
          <cell r="F6" t="str">
            <v>山村</v>
          </cell>
          <cell r="G6" t="str">
            <v>山村</v>
          </cell>
          <cell r="H6" t="str">
            <v>山村</v>
          </cell>
          <cell r="I6" t="str">
            <v>山村</v>
          </cell>
          <cell r="J6" t="str">
            <v>西郡</v>
          </cell>
          <cell r="K6" t="str">
            <v>大畑</v>
          </cell>
          <cell r="L6" t="str">
            <v>阪井田</v>
          </cell>
          <cell r="M6" t="str">
            <v>殿田</v>
          </cell>
          <cell r="N6" t="str">
            <v>阪井田</v>
          </cell>
          <cell r="O6" t="str">
            <v>大畑</v>
          </cell>
          <cell r="P6" t="str">
            <v>村中</v>
          </cell>
          <cell r="Q6" t="str">
            <v>加藤</v>
          </cell>
          <cell r="R6" t="str">
            <v>大畑</v>
          </cell>
          <cell r="S6" t="str">
            <v>阪井田</v>
          </cell>
          <cell r="T6" t="str">
            <v>山村</v>
          </cell>
          <cell r="U6" t="str">
            <v/>
          </cell>
          <cell r="V6" t="str">
            <v>大畑</v>
          </cell>
          <cell r="W6" t="str">
            <v>村中</v>
          </cell>
          <cell r="X6" t="str">
            <v>村中</v>
          </cell>
          <cell r="Y6" t="str">
            <v>大畑</v>
          </cell>
          <cell r="Z6" t="str">
            <v>阪井田</v>
          </cell>
          <cell r="AA6" t="str">
            <v>殿田</v>
          </cell>
          <cell r="AB6" t="str">
            <v>阪井田</v>
          </cell>
          <cell r="AC6" t="str">
            <v>大畑</v>
          </cell>
          <cell r="AD6" t="str">
            <v>西郡</v>
          </cell>
          <cell r="AE6" t="str">
            <v>大畑</v>
          </cell>
          <cell r="AF6" t="str">
            <v>村中</v>
          </cell>
          <cell r="AG6" t="str">
            <v>阪井田</v>
          </cell>
          <cell r="AH6" t="str">
            <v>山村</v>
          </cell>
        </row>
        <row r="7">
          <cell r="D7" t="str">
            <v/>
          </cell>
          <cell r="E7" t="str">
            <v>木田</v>
          </cell>
          <cell r="F7" t="str">
            <v>殿田</v>
          </cell>
          <cell r="G7" t="str">
            <v>殿田</v>
          </cell>
          <cell r="H7" t="str">
            <v>殿田</v>
          </cell>
          <cell r="I7" t="str">
            <v>殿田</v>
          </cell>
          <cell r="J7" t="str">
            <v>谷口</v>
          </cell>
          <cell r="K7" t="str">
            <v>村中</v>
          </cell>
          <cell r="L7" t="str">
            <v>木田</v>
          </cell>
          <cell r="M7" t="str">
            <v>森本</v>
          </cell>
          <cell r="N7" t="str">
            <v/>
          </cell>
          <cell r="O7" t="str">
            <v>谷口</v>
          </cell>
          <cell r="P7" t="str">
            <v>阪井田</v>
          </cell>
          <cell r="Q7" t="str">
            <v>大畑</v>
          </cell>
          <cell r="R7" t="str">
            <v>村中</v>
          </cell>
          <cell r="S7" t="str">
            <v>木田</v>
          </cell>
          <cell r="T7" t="str">
            <v>殿田</v>
          </cell>
          <cell r="U7" t="str">
            <v/>
          </cell>
          <cell r="V7" t="str">
            <v>谷口</v>
          </cell>
          <cell r="W7" t="str">
            <v>阪井田</v>
          </cell>
          <cell r="X7" t="str">
            <v>阪井田</v>
          </cell>
          <cell r="Y7" t="str">
            <v>村中</v>
          </cell>
          <cell r="Z7" t="str">
            <v>木田</v>
          </cell>
          <cell r="AA7" t="str">
            <v>森本</v>
          </cell>
          <cell r="AB7" t="str">
            <v/>
          </cell>
          <cell r="AC7" t="str">
            <v>谷口</v>
          </cell>
          <cell r="AD7" t="str">
            <v>村中</v>
          </cell>
          <cell r="AE7" t="str">
            <v>村中</v>
          </cell>
          <cell r="AF7" t="str">
            <v/>
          </cell>
          <cell r="AG7" t="str">
            <v>木田</v>
          </cell>
          <cell r="AH7" t="str">
            <v>殿田</v>
          </cell>
        </row>
        <row r="8">
          <cell r="D8" t="str">
            <v/>
          </cell>
          <cell r="E8" t="str">
            <v/>
          </cell>
          <cell r="F8" t="str">
            <v>森本</v>
          </cell>
          <cell r="G8" t="str">
            <v>森本</v>
          </cell>
          <cell r="H8" t="str">
            <v>森本</v>
          </cell>
          <cell r="I8" t="str">
            <v>森本</v>
          </cell>
          <cell r="J8" t="str">
            <v>村中</v>
          </cell>
          <cell r="K8" t="str">
            <v/>
          </cell>
          <cell r="L8" t="str">
            <v/>
          </cell>
          <cell r="M8" t="str">
            <v>中井</v>
          </cell>
          <cell r="N8" t="str">
            <v/>
          </cell>
          <cell r="O8" t="str">
            <v>村中</v>
          </cell>
          <cell r="P8" t="str">
            <v/>
          </cell>
          <cell r="Q8" t="str">
            <v>村中</v>
          </cell>
          <cell r="R8" t="str">
            <v/>
          </cell>
          <cell r="S8" t="str">
            <v/>
          </cell>
          <cell r="T8" t="str">
            <v>森本</v>
          </cell>
          <cell r="U8" t="str">
            <v/>
          </cell>
          <cell r="V8" t="str">
            <v>村中</v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>中井</v>
          </cell>
          <cell r="AB8" t="str">
            <v/>
          </cell>
          <cell r="AC8" t="str">
            <v>村中</v>
          </cell>
          <cell r="AD8" t="str">
            <v>阪井田</v>
          </cell>
          <cell r="AE8" t="str">
            <v>阪井田</v>
          </cell>
          <cell r="AF8" t="str">
            <v/>
          </cell>
          <cell r="AG8" t="str">
            <v/>
          </cell>
          <cell r="AH8" t="str">
            <v>森本</v>
          </cell>
        </row>
        <row r="9">
          <cell r="D9" t="str">
            <v/>
          </cell>
          <cell r="E9" t="str">
            <v/>
          </cell>
          <cell r="F9" t="str">
            <v>中井</v>
          </cell>
          <cell r="G9" t="str">
            <v>中井</v>
          </cell>
          <cell r="H9" t="str">
            <v>中井</v>
          </cell>
          <cell r="I9" t="str">
            <v>中井</v>
          </cell>
          <cell r="J9" t="str">
            <v>阪井田</v>
          </cell>
          <cell r="K9" t="str">
            <v/>
          </cell>
          <cell r="L9" t="str">
            <v/>
          </cell>
          <cell r="M9" t="str">
            <v>北</v>
          </cell>
          <cell r="N9" t="str">
            <v/>
          </cell>
          <cell r="O9" t="str">
            <v/>
          </cell>
          <cell r="P9" t="str">
            <v/>
          </cell>
          <cell r="Q9" t="str">
            <v>阪井田</v>
          </cell>
          <cell r="R9" t="str">
            <v/>
          </cell>
          <cell r="S9" t="str">
            <v/>
          </cell>
          <cell r="T9" t="str">
            <v>中井</v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>北</v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>中井</v>
          </cell>
        </row>
        <row r="10">
          <cell r="D10" t="str">
            <v/>
          </cell>
          <cell r="E10" t="str">
            <v/>
          </cell>
          <cell r="F10" t="str">
            <v>北</v>
          </cell>
          <cell r="G10" t="str">
            <v>北</v>
          </cell>
          <cell r="H10" t="str">
            <v>北</v>
          </cell>
          <cell r="I10" t="str">
            <v>北</v>
          </cell>
          <cell r="J10" t="str">
            <v/>
          </cell>
          <cell r="K10" t="str">
            <v/>
          </cell>
          <cell r="L10" t="str">
            <v/>
          </cell>
          <cell r="M10" t="str">
            <v>中村</v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>北</v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>中村</v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>北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D1">
            <v>43983</v>
          </cell>
          <cell r="E1">
            <v>43984</v>
          </cell>
          <cell r="F1">
            <v>43985</v>
          </cell>
          <cell r="G1">
            <v>43986</v>
          </cell>
          <cell r="H1">
            <v>43987</v>
          </cell>
          <cell r="I1">
            <v>43988</v>
          </cell>
          <cell r="J1">
            <v>43989</v>
          </cell>
          <cell r="K1">
            <v>43990</v>
          </cell>
          <cell r="L1">
            <v>43991</v>
          </cell>
          <cell r="M1">
            <v>43992</v>
          </cell>
          <cell r="N1">
            <v>43993</v>
          </cell>
          <cell r="O1">
            <v>43994</v>
          </cell>
          <cell r="P1">
            <v>43995</v>
          </cell>
          <cell r="Q1">
            <v>43996</v>
          </cell>
          <cell r="R1">
            <v>43997</v>
          </cell>
          <cell r="S1">
            <v>43998</v>
          </cell>
          <cell r="T1">
            <v>43999</v>
          </cell>
          <cell r="U1">
            <v>44000</v>
          </cell>
          <cell r="V1">
            <v>44001</v>
          </cell>
          <cell r="W1">
            <v>44002</v>
          </cell>
          <cell r="X1">
            <v>44003</v>
          </cell>
          <cell r="Y1">
            <v>44004</v>
          </cell>
          <cell r="Z1">
            <v>44005</v>
          </cell>
          <cell r="AA1">
            <v>44006</v>
          </cell>
          <cell r="AB1">
            <v>44007</v>
          </cell>
          <cell r="AC1">
            <v>44008</v>
          </cell>
          <cell r="AD1">
            <v>44009</v>
          </cell>
          <cell r="AE1">
            <v>44010</v>
          </cell>
          <cell r="AF1">
            <v>44011</v>
          </cell>
          <cell r="AG1">
            <v>44012</v>
          </cell>
          <cell r="AH1" t="str">
            <v/>
          </cell>
        </row>
        <row r="2">
          <cell r="D2">
            <v>43983</v>
          </cell>
          <cell r="E2">
            <v>43984</v>
          </cell>
          <cell r="F2">
            <v>43985</v>
          </cell>
          <cell r="G2">
            <v>43986</v>
          </cell>
          <cell r="H2">
            <v>43987</v>
          </cell>
          <cell r="I2">
            <v>43988</v>
          </cell>
          <cell r="J2">
            <v>43989</v>
          </cell>
          <cell r="K2">
            <v>43990</v>
          </cell>
          <cell r="L2">
            <v>43991</v>
          </cell>
          <cell r="M2">
            <v>43992</v>
          </cell>
          <cell r="N2">
            <v>43993</v>
          </cell>
          <cell r="O2">
            <v>43994</v>
          </cell>
          <cell r="P2">
            <v>43995</v>
          </cell>
          <cell r="Q2">
            <v>43996</v>
          </cell>
          <cell r="R2">
            <v>43997</v>
          </cell>
          <cell r="S2">
            <v>43998</v>
          </cell>
          <cell r="T2">
            <v>43999</v>
          </cell>
          <cell r="U2">
            <v>44000</v>
          </cell>
          <cell r="V2">
            <v>44001</v>
          </cell>
          <cell r="W2">
            <v>44002</v>
          </cell>
          <cell r="X2">
            <v>44003</v>
          </cell>
          <cell r="Y2">
            <v>44004</v>
          </cell>
          <cell r="Z2">
            <v>44005</v>
          </cell>
          <cell r="AA2">
            <v>44006</v>
          </cell>
          <cell r="AB2">
            <v>44007</v>
          </cell>
          <cell r="AC2">
            <v>44008</v>
          </cell>
          <cell r="AD2">
            <v>44009</v>
          </cell>
          <cell r="AE2">
            <v>44010</v>
          </cell>
          <cell r="AF2">
            <v>44011</v>
          </cell>
          <cell r="AG2">
            <v>44012</v>
          </cell>
          <cell r="AH2" t="str">
            <v/>
          </cell>
        </row>
        <row r="3">
          <cell r="D3" t="str">
            <v>平田恵</v>
          </cell>
          <cell r="E3" t="str">
            <v>南</v>
          </cell>
          <cell r="F3" t="str">
            <v>中井</v>
          </cell>
          <cell r="G3" t="str">
            <v>長田</v>
          </cell>
          <cell r="H3" t="str">
            <v>中村</v>
          </cell>
          <cell r="I3" t="str">
            <v>山村</v>
          </cell>
          <cell r="J3" t="str">
            <v>山本</v>
          </cell>
          <cell r="K3" t="str">
            <v>佐藤恵</v>
          </cell>
          <cell r="L3" t="str">
            <v>清水</v>
          </cell>
          <cell r="M3" t="str">
            <v>山下</v>
          </cell>
          <cell r="N3" t="str">
            <v>大橋</v>
          </cell>
          <cell r="O3" t="str">
            <v>南</v>
          </cell>
          <cell r="P3" t="str">
            <v>山田</v>
          </cell>
          <cell r="Q3" t="str">
            <v>大橋</v>
          </cell>
          <cell r="R3" t="str">
            <v>加藤</v>
          </cell>
          <cell r="S3" t="str">
            <v>齊藤</v>
          </cell>
          <cell r="T3" t="str">
            <v>平田真</v>
          </cell>
          <cell r="U3" t="str">
            <v>山村</v>
          </cell>
          <cell r="V3" t="str">
            <v>澤野</v>
          </cell>
          <cell r="W3" t="str">
            <v>清水</v>
          </cell>
          <cell r="X3" t="str">
            <v>山本</v>
          </cell>
          <cell r="Y3" t="str">
            <v>大橋</v>
          </cell>
          <cell r="Z3" t="str">
            <v>山下</v>
          </cell>
          <cell r="AA3" t="str">
            <v>中村</v>
          </cell>
          <cell r="AB3" t="str">
            <v>山村</v>
          </cell>
          <cell r="AC3" t="str">
            <v>大橋</v>
          </cell>
          <cell r="AD3" t="str">
            <v>長田</v>
          </cell>
          <cell r="AE3" t="str">
            <v>清水</v>
          </cell>
          <cell r="AF3" t="str">
            <v>山本</v>
          </cell>
          <cell r="AG3" t="str">
            <v>南</v>
          </cell>
          <cell r="AH3" t="str">
            <v/>
          </cell>
        </row>
        <row r="4">
          <cell r="D4" t="str">
            <v>加藤</v>
          </cell>
          <cell r="E4" t="str">
            <v>西郡</v>
          </cell>
          <cell r="F4" t="str">
            <v>庵</v>
          </cell>
          <cell r="G4" t="str">
            <v>齊藤</v>
          </cell>
          <cell r="H4" t="str">
            <v>田村</v>
          </cell>
          <cell r="I4" t="str">
            <v>澤野</v>
          </cell>
          <cell r="J4" t="str">
            <v>佐藤穂</v>
          </cell>
          <cell r="K4" t="str">
            <v>薬司</v>
          </cell>
          <cell r="L4" t="str">
            <v>本田</v>
          </cell>
          <cell r="M4" t="str">
            <v>中村</v>
          </cell>
          <cell r="N4" t="str">
            <v>庵</v>
          </cell>
          <cell r="O4" t="str">
            <v>加藤</v>
          </cell>
          <cell r="P4" t="str">
            <v>平田恵</v>
          </cell>
          <cell r="Q4" t="str">
            <v>澤野</v>
          </cell>
          <cell r="R4" t="str">
            <v>龍野</v>
          </cell>
          <cell r="S4" t="str">
            <v>西郡</v>
          </cell>
          <cell r="T4" t="str">
            <v>佐藤穂</v>
          </cell>
          <cell r="U4" t="str">
            <v>薬司</v>
          </cell>
          <cell r="V4" t="str">
            <v>田村</v>
          </cell>
          <cell r="W4" t="str">
            <v>佐藤恵</v>
          </cell>
          <cell r="X4" t="str">
            <v>南</v>
          </cell>
          <cell r="Y4" t="str">
            <v>本田</v>
          </cell>
          <cell r="Z4" t="str">
            <v>庵</v>
          </cell>
          <cell r="AA4" t="str">
            <v>山田</v>
          </cell>
          <cell r="AB4" t="str">
            <v>平田恵</v>
          </cell>
          <cell r="AC4" t="str">
            <v>龍野</v>
          </cell>
          <cell r="AD4" t="str">
            <v>佐藤穂</v>
          </cell>
          <cell r="AE4" t="str">
            <v>齊藤</v>
          </cell>
          <cell r="AF4" t="str">
            <v>田村</v>
          </cell>
          <cell r="AG4" t="str">
            <v>薬司</v>
          </cell>
          <cell r="AH4" t="str">
            <v/>
          </cell>
        </row>
      </sheetData>
      <sheetData sheetId="8">
        <row r="1">
          <cell r="D1">
            <v>43983</v>
          </cell>
          <cell r="E1">
            <v>43984</v>
          </cell>
          <cell r="F1">
            <v>43985</v>
          </cell>
          <cell r="G1">
            <v>43986</v>
          </cell>
          <cell r="H1">
            <v>43987</v>
          </cell>
          <cell r="I1">
            <v>43988</v>
          </cell>
          <cell r="J1">
            <v>43989</v>
          </cell>
          <cell r="K1">
            <v>43990</v>
          </cell>
          <cell r="L1">
            <v>43991</v>
          </cell>
          <cell r="M1">
            <v>43992</v>
          </cell>
          <cell r="N1">
            <v>43993</v>
          </cell>
          <cell r="O1">
            <v>43994</v>
          </cell>
          <cell r="P1">
            <v>43995</v>
          </cell>
          <cell r="Q1">
            <v>43996</v>
          </cell>
          <cell r="R1">
            <v>43997</v>
          </cell>
          <cell r="S1">
            <v>43998</v>
          </cell>
          <cell r="T1">
            <v>43999</v>
          </cell>
          <cell r="U1">
            <v>44000</v>
          </cell>
          <cell r="V1">
            <v>44001</v>
          </cell>
          <cell r="W1">
            <v>44002</v>
          </cell>
          <cell r="X1">
            <v>44003</v>
          </cell>
          <cell r="Y1">
            <v>44004</v>
          </cell>
          <cell r="Z1">
            <v>44005</v>
          </cell>
          <cell r="AA1">
            <v>44006</v>
          </cell>
          <cell r="AB1">
            <v>44007</v>
          </cell>
          <cell r="AC1">
            <v>44008</v>
          </cell>
          <cell r="AD1">
            <v>44009</v>
          </cell>
          <cell r="AE1">
            <v>44010</v>
          </cell>
          <cell r="AF1">
            <v>44011</v>
          </cell>
          <cell r="AG1">
            <v>44012</v>
          </cell>
          <cell r="AH1" t="str">
            <v/>
          </cell>
        </row>
        <row r="2">
          <cell r="D2">
            <v>43983</v>
          </cell>
          <cell r="E2">
            <v>43984</v>
          </cell>
          <cell r="F2">
            <v>43985</v>
          </cell>
          <cell r="G2">
            <v>43986</v>
          </cell>
          <cell r="H2">
            <v>43987</v>
          </cell>
          <cell r="I2">
            <v>43988</v>
          </cell>
          <cell r="J2">
            <v>43989</v>
          </cell>
          <cell r="K2">
            <v>43990</v>
          </cell>
          <cell r="L2">
            <v>43991</v>
          </cell>
          <cell r="M2">
            <v>43992</v>
          </cell>
          <cell r="N2">
            <v>43993</v>
          </cell>
          <cell r="O2">
            <v>43994</v>
          </cell>
          <cell r="P2">
            <v>43995</v>
          </cell>
          <cell r="Q2">
            <v>43996</v>
          </cell>
          <cell r="R2">
            <v>43997</v>
          </cell>
          <cell r="S2">
            <v>43998</v>
          </cell>
          <cell r="T2">
            <v>43999</v>
          </cell>
          <cell r="U2">
            <v>44000</v>
          </cell>
          <cell r="V2">
            <v>44001</v>
          </cell>
          <cell r="W2">
            <v>44002</v>
          </cell>
          <cell r="X2">
            <v>44003</v>
          </cell>
          <cell r="Y2">
            <v>44004</v>
          </cell>
          <cell r="Z2">
            <v>44005</v>
          </cell>
          <cell r="AA2">
            <v>44006</v>
          </cell>
          <cell r="AB2">
            <v>44007</v>
          </cell>
          <cell r="AC2">
            <v>44008</v>
          </cell>
          <cell r="AD2">
            <v>44009</v>
          </cell>
          <cell r="AE2">
            <v>44010</v>
          </cell>
          <cell r="AF2">
            <v>44011</v>
          </cell>
          <cell r="AG2">
            <v>44012</v>
          </cell>
          <cell r="AH2" t="str">
            <v/>
          </cell>
        </row>
        <row r="3">
          <cell r="D3" t="str">
            <v>宮崎</v>
          </cell>
          <cell r="E3" t="str">
            <v>平田真</v>
          </cell>
          <cell r="F3" t="str">
            <v>南</v>
          </cell>
          <cell r="G3" t="str">
            <v>澤野</v>
          </cell>
          <cell r="H3" t="str">
            <v>山本</v>
          </cell>
          <cell r="I3" t="str">
            <v>大畑</v>
          </cell>
          <cell r="J3" t="str">
            <v>宮崎</v>
          </cell>
          <cell r="K3" t="str">
            <v>齊藤</v>
          </cell>
          <cell r="L3" t="str">
            <v>山村</v>
          </cell>
          <cell r="M3" t="str">
            <v>佐藤穂</v>
          </cell>
          <cell r="N3" t="str">
            <v>佐藤恵</v>
          </cell>
          <cell r="O3" t="str">
            <v>田村</v>
          </cell>
          <cell r="P3" t="str">
            <v>大畑</v>
          </cell>
          <cell r="Q3" t="str">
            <v>宮崎</v>
          </cell>
          <cell r="R3" t="str">
            <v>山本</v>
          </cell>
          <cell r="S3" t="str">
            <v>山田</v>
          </cell>
          <cell r="T3" t="str">
            <v>大橋</v>
          </cell>
          <cell r="U3" t="str">
            <v>大橋</v>
          </cell>
          <cell r="V3" t="str">
            <v>大畑</v>
          </cell>
          <cell r="W3" t="str">
            <v>大畑</v>
          </cell>
          <cell r="X3" t="str">
            <v>宮崎</v>
          </cell>
          <cell r="Y3" t="str">
            <v>清水</v>
          </cell>
          <cell r="Z3" t="str">
            <v>吉田</v>
          </cell>
          <cell r="AA3" t="str">
            <v>山本</v>
          </cell>
          <cell r="AB3" t="str">
            <v>齊藤</v>
          </cell>
          <cell r="AC3" t="str">
            <v>加藤</v>
          </cell>
          <cell r="AD3" t="str">
            <v>大畑</v>
          </cell>
          <cell r="AE3" t="str">
            <v>宮崎</v>
          </cell>
          <cell r="AF3" t="str">
            <v>平田真</v>
          </cell>
          <cell r="AG3" t="str">
            <v>清水</v>
          </cell>
          <cell r="AH3" t="str">
            <v/>
          </cell>
        </row>
        <row r="4">
          <cell r="D4" t="str">
            <v>山下</v>
          </cell>
          <cell r="E4" t="str">
            <v>大畑</v>
          </cell>
          <cell r="F4" t="str">
            <v>西郡</v>
          </cell>
          <cell r="G4" t="str">
            <v>大畑</v>
          </cell>
          <cell r="H4" t="str">
            <v>平田恵</v>
          </cell>
          <cell r="I4" t="str">
            <v>谷口</v>
          </cell>
          <cell r="J4" t="str">
            <v>奥</v>
          </cell>
          <cell r="K4" t="str">
            <v>村中</v>
          </cell>
          <cell r="L4" t="str">
            <v>澤野</v>
          </cell>
          <cell r="M4" t="str">
            <v>村中</v>
          </cell>
          <cell r="N4" t="str">
            <v>薬司</v>
          </cell>
          <cell r="O4" t="str">
            <v>大畑</v>
          </cell>
          <cell r="P4" t="str">
            <v>谷口</v>
          </cell>
          <cell r="Q4" t="str">
            <v>奥</v>
          </cell>
          <cell r="R4" t="str">
            <v>本田</v>
          </cell>
          <cell r="S4" t="str">
            <v>平田恵</v>
          </cell>
          <cell r="T4" t="str">
            <v>龍野</v>
          </cell>
          <cell r="U4" t="str">
            <v>大畑</v>
          </cell>
          <cell r="V4" t="str">
            <v>村中</v>
          </cell>
          <cell r="W4" t="str">
            <v>谷口</v>
          </cell>
          <cell r="X4" t="str">
            <v>奥</v>
          </cell>
          <cell r="Y4" t="str">
            <v>村中</v>
          </cell>
          <cell r="Z4" t="str">
            <v>佐藤恵</v>
          </cell>
          <cell r="AA4" t="str">
            <v>南</v>
          </cell>
          <cell r="AB4" t="str">
            <v>大畑</v>
          </cell>
          <cell r="AC4" t="str">
            <v>本田</v>
          </cell>
          <cell r="AD4" t="str">
            <v>谷口</v>
          </cell>
          <cell r="AE4" t="str">
            <v>奥</v>
          </cell>
          <cell r="AF4" t="str">
            <v>佐藤穂</v>
          </cell>
          <cell r="AG4" t="str">
            <v>長田</v>
          </cell>
          <cell r="AH4" t="str">
            <v/>
          </cell>
        </row>
        <row r="5">
          <cell r="D5" t="str">
            <v>山村</v>
          </cell>
          <cell r="E5" t="str">
            <v>谷口</v>
          </cell>
          <cell r="F5" t="str">
            <v>谷口</v>
          </cell>
          <cell r="G5" t="str">
            <v>谷口</v>
          </cell>
          <cell r="H5" t="str">
            <v>長田</v>
          </cell>
          <cell r="I5" t="str">
            <v>村中</v>
          </cell>
          <cell r="J5" t="str">
            <v>山下</v>
          </cell>
          <cell r="K5" t="str">
            <v>阪井田</v>
          </cell>
          <cell r="L5" t="str">
            <v>大畑</v>
          </cell>
          <cell r="M5" t="str">
            <v>阪井田</v>
          </cell>
          <cell r="N5" t="str">
            <v>大畑</v>
          </cell>
          <cell r="O5" t="str">
            <v>谷口</v>
          </cell>
          <cell r="P5" t="str">
            <v>村中</v>
          </cell>
          <cell r="Q5" t="str">
            <v>山下</v>
          </cell>
          <cell r="R5" t="str">
            <v>村中</v>
          </cell>
          <cell r="S5" t="str">
            <v>大畑</v>
          </cell>
          <cell r="T5" t="str">
            <v>村中</v>
          </cell>
          <cell r="U5" t="str">
            <v>村中</v>
          </cell>
          <cell r="V5" t="str">
            <v/>
          </cell>
          <cell r="W5" t="str">
            <v>村中</v>
          </cell>
          <cell r="X5" t="str">
            <v>山下</v>
          </cell>
          <cell r="Y5" t="str">
            <v>阪井田</v>
          </cell>
          <cell r="Z5" t="str">
            <v>大畑</v>
          </cell>
          <cell r="AA5" t="str">
            <v>谷口</v>
          </cell>
          <cell r="AB5" t="str">
            <v>村中</v>
          </cell>
          <cell r="AC5" t="str">
            <v>大畑</v>
          </cell>
          <cell r="AD5" t="str">
            <v>村中</v>
          </cell>
          <cell r="AE5" t="str">
            <v>山下</v>
          </cell>
          <cell r="AF5" t="str">
            <v>村中</v>
          </cell>
          <cell r="AG5" t="str">
            <v>大畑</v>
          </cell>
          <cell r="AH5" t="str">
            <v/>
          </cell>
        </row>
        <row r="6">
          <cell r="D6" t="str">
            <v>殿田</v>
          </cell>
          <cell r="E6" t="str">
            <v>村中</v>
          </cell>
          <cell r="F6" t="str">
            <v>村中</v>
          </cell>
          <cell r="G6" t="str">
            <v>村中</v>
          </cell>
          <cell r="H6" t="str">
            <v>大畑</v>
          </cell>
          <cell r="I6" t="str">
            <v>阪井田</v>
          </cell>
          <cell r="J6" t="str">
            <v>山村</v>
          </cell>
          <cell r="K6" t="str">
            <v/>
          </cell>
          <cell r="L6" t="str">
            <v>谷口</v>
          </cell>
          <cell r="M6" t="str">
            <v/>
          </cell>
          <cell r="N6" t="str">
            <v>村中</v>
          </cell>
          <cell r="O6" t="str">
            <v>村中</v>
          </cell>
          <cell r="P6" t="str">
            <v>阪井田</v>
          </cell>
          <cell r="Q6" t="str">
            <v>山村</v>
          </cell>
          <cell r="R6" t="str">
            <v>阪井田</v>
          </cell>
          <cell r="S6" t="str">
            <v>谷口</v>
          </cell>
          <cell r="T6" t="str">
            <v>阪井田</v>
          </cell>
          <cell r="U6" t="str">
            <v>阪井田</v>
          </cell>
          <cell r="V6" t="str">
            <v/>
          </cell>
          <cell r="W6" t="str">
            <v>阪井田</v>
          </cell>
          <cell r="X6" t="str">
            <v>山村</v>
          </cell>
          <cell r="Y6" t="str">
            <v/>
          </cell>
          <cell r="Z6" t="str">
            <v>谷口</v>
          </cell>
          <cell r="AA6" t="str">
            <v>村中</v>
          </cell>
          <cell r="AB6" t="str">
            <v>阪井田</v>
          </cell>
          <cell r="AC6" t="str">
            <v>村中</v>
          </cell>
          <cell r="AD6" t="str">
            <v>阪井田</v>
          </cell>
          <cell r="AE6" t="str">
            <v>山村</v>
          </cell>
          <cell r="AF6" t="str">
            <v>阪井田</v>
          </cell>
          <cell r="AG6" t="str">
            <v>谷口</v>
          </cell>
          <cell r="AH6" t="str">
            <v/>
          </cell>
        </row>
        <row r="7">
          <cell r="D7" t="str">
            <v>森本</v>
          </cell>
          <cell r="E7" t="str">
            <v/>
          </cell>
          <cell r="F7" t="str">
            <v>阪井田</v>
          </cell>
          <cell r="G7" t="str">
            <v>阪井田</v>
          </cell>
          <cell r="H7" t="str">
            <v>村中</v>
          </cell>
          <cell r="I7" t="str">
            <v>木田</v>
          </cell>
          <cell r="J7" t="str">
            <v>殿田</v>
          </cell>
          <cell r="K7" t="str">
            <v/>
          </cell>
          <cell r="L7" t="str">
            <v>村中</v>
          </cell>
          <cell r="M7" t="str">
            <v/>
          </cell>
          <cell r="N7" t="str">
            <v>阪井田</v>
          </cell>
          <cell r="O7" t="str">
            <v/>
          </cell>
          <cell r="P7" t="str">
            <v>木田</v>
          </cell>
          <cell r="Q7" t="str">
            <v>殿田</v>
          </cell>
          <cell r="R7" t="str">
            <v/>
          </cell>
          <cell r="S7" t="str">
            <v>村中</v>
          </cell>
          <cell r="T7" t="str">
            <v/>
          </cell>
          <cell r="U7" t="str">
            <v/>
          </cell>
          <cell r="V7" t="str">
            <v/>
          </cell>
          <cell r="W7" t="str">
            <v>木田</v>
          </cell>
          <cell r="X7" t="str">
            <v>殿田</v>
          </cell>
          <cell r="Y7" t="str">
            <v/>
          </cell>
          <cell r="Z7" t="str">
            <v>村中</v>
          </cell>
          <cell r="AA7" t="str">
            <v>阪井田</v>
          </cell>
          <cell r="AB7" t="str">
            <v/>
          </cell>
          <cell r="AC7" t="str">
            <v/>
          </cell>
          <cell r="AD7" t="str">
            <v>木田</v>
          </cell>
          <cell r="AE7" t="str">
            <v>殿田</v>
          </cell>
          <cell r="AF7" t="str">
            <v/>
          </cell>
          <cell r="AG7" t="str">
            <v>村中</v>
          </cell>
          <cell r="AH7" t="str">
            <v/>
          </cell>
        </row>
        <row r="8">
          <cell r="D8" t="str">
            <v>中井</v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>森本</v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>森本</v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>森本</v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>森本</v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>北</v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>中井</v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>中井</v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>中井</v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>中井</v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>中村</v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>北</v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>北</v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>北</v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>北</v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44013</v>
          </cell>
          <cell r="E1">
            <v>44014</v>
          </cell>
          <cell r="F1">
            <v>44015</v>
          </cell>
          <cell r="G1">
            <v>44016</v>
          </cell>
          <cell r="H1">
            <v>44017</v>
          </cell>
          <cell r="I1">
            <v>44018</v>
          </cell>
          <cell r="J1">
            <v>44019</v>
          </cell>
          <cell r="K1">
            <v>44020</v>
          </cell>
          <cell r="L1">
            <v>44021</v>
          </cell>
          <cell r="M1">
            <v>44022</v>
          </cell>
          <cell r="N1">
            <v>44023</v>
          </cell>
          <cell r="O1">
            <v>44024</v>
          </cell>
          <cell r="P1">
            <v>44025</v>
          </cell>
          <cell r="Q1">
            <v>44026</v>
          </cell>
          <cell r="R1">
            <v>44027</v>
          </cell>
          <cell r="S1">
            <v>44028</v>
          </cell>
          <cell r="T1">
            <v>44029</v>
          </cell>
          <cell r="U1">
            <v>44030</v>
          </cell>
          <cell r="V1">
            <v>44031</v>
          </cell>
          <cell r="W1">
            <v>44032</v>
          </cell>
          <cell r="X1">
            <v>44033</v>
          </cell>
          <cell r="Y1">
            <v>44034</v>
          </cell>
          <cell r="Z1">
            <v>44035</v>
          </cell>
          <cell r="AA1">
            <v>44036</v>
          </cell>
          <cell r="AB1">
            <v>44037</v>
          </cell>
          <cell r="AC1">
            <v>44038</v>
          </cell>
          <cell r="AD1">
            <v>44039</v>
          </cell>
          <cell r="AE1">
            <v>44040</v>
          </cell>
          <cell r="AF1">
            <v>44041</v>
          </cell>
          <cell r="AG1">
            <v>44042</v>
          </cell>
          <cell r="AH1">
            <v>44043</v>
          </cell>
        </row>
        <row r="2">
          <cell r="D2">
            <v>44013</v>
          </cell>
          <cell r="E2">
            <v>44014</v>
          </cell>
          <cell r="F2">
            <v>44015</v>
          </cell>
          <cell r="G2">
            <v>44016</v>
          </cell>
          <cell r="H2">
            <v>44017</v>
          </cell>
          <cell r="I2">
            <v>44018</v>
          </cell>
          <cell r="J2">
            <v>44019</v>
          </cell>
          <cell r="K2">
            <v>44020</v>
          </cell>
          <cell r="L2">
            <v>44021</v>
          </cell>
          <cell r="M2">
            <v>44022</v>
          </cell>
          <cell r="N2">
            <v>44023</v>
          </cell>
          <cell r="O2">
            <v>44024</v>
          </cell>
          <cell r="P2">
            <v>44025</v>
          </cell>
          <cell r="Q2">
            <v>44026</v>
          </cell>
          <cell r="R2">
            <v>44027</v>
          </cell>
          <cell r="S2">
            <v>44028</v>
          </cell>
          <cell r="T2">
            <v>44029</v>
          </cell>
          <cell r="U2">
            <v>44030</v>
          </cell>
          <cell r="V2">
            <v>44031</v>
          </cell>
          <cell r="W2">
            <v>44032</v>
          </cell>
          <cell r="X2">
            <v>44033</v>
          </cell>
          <cell r="Y2">
            <v>44034</v>
          </cell>
          <cell r="Z2">
            <v>44035</v>
          </cell>
          <cell r="AA2">
            <v>44036</v>
          </cell>
          <cell r="AB2">
            <v>44037</v>
          </cell>
          <cell r="AC2">
            <v>44038</v>
          </cell>
          <cell r="AD2">
            <v>44039</v>
          </cell>
          <cell r="AE2">
            <v>44040</v>
          </cell>
          <cell r="AF2">
            <v>44041</v>
          </cell>
          <cell r="AG2">
            <v>44042</v>
          </cell>
          <cell r="AH2">
            <v>44043</v>
          </cell>
        </row>
        <row r="3">
          <cell r="D3" t="str">
            <v>佐藤恵</v>
          </cell>
          <cell r="E3" t="str">
            <v>清水</v>
          </cell>
          <cell r="F3" t="str">
            <v>田村</v>
          </cell>
          <cell r="G3" t="str">
            <v>山村</v>
          </cell>
          <cell r="H3" t="str">
            <v>薬司</v>
          </cell>
          <cell r="I3" t="str">
            <v>山田</v>
          </cell>
          <cell r="J3" t="str">
            <v>山本</v>
          </cell>
          <cell r="K3" t="str">
            <v>清水</v>
          </cell>
          <cell r="L3" t="str">
            <v>中井</v>
          </cell>
          <cell r="M3" t="str">
            <v>山下</v>
          </cell>
          <cell r="N3" t="str">
            <v>平田真</v>
          </cell>
          <cell r="O3" t="str">
            <v>清水</v>
          </cell>
          <cell r="P3" t="str">
            <v>澤野</v>
          </cell>
          <cell r="Q3" t="str">
            <v>龍野</v>
          </cell>
          <cell r="R3" t="str">
            <v>長田</v>
          </cell>
          <cell r="S3" t="str">
            <v>佐藤穂</v>
          </cell>
          <cell r="T3" t="str">
            <v>大橋</v>
          </cell>
          <cell r="U3" t="str">
            <v>清水</v>
          </cell>
          <cell r="V3" t="str">
            <v>南</v>
          </cell>
          <cell r="W3" t="str">
            <v>大橋</v>
          </cell>
          <cell r="X3" t="str">
            <v>山村</v>
          </cell>
          <cell r="Y3" t="str">
            <v>庵</v>
          </cell>
          <cell r="Z3" t="str">
            <v>中井</v>
          </cell>
          <cell r="AA3" t="str">
            <v>山下</v>
          </cell>
          <cell r="AB3" t="str">
            <v>佐藤穂</v>
          </cell>
          <cell r="AC3" t="str">
            <v>佐藤恵</v>
          </cell>
          <cell r="AD3" t="str">
            <v>南</v>
          </cell>
          <cell r="AE3" t="str">
            <v>齊藤</v>
          </cell>
          <cell r="AF3" t="str">
            <v>長田</v>
          </cell>
          <cell r="AG3" t="str">
            <v>平田恵</v>
          </cell>
          <cell r="AH3" t="str">
            <v>山田</v>
          </cell>
        </row>
        <row r="4">
          <cell r="D4" t="str">
            <v>西郡</v>
          </cell>
          <cell r="E4" t="str">
            <v>本田</v>
          </cell>
          <cell r="F4" t="str">
            <v>佐藤穂</v>
          </cell>
          <cell r="G4" t="str">
            <v>中村</v>
          </cell>
          <cell r="H4" t="str">
            <v>西郡</v>
          </cell>
          <cell r="I4" t="str">
            <v>長田</v>
          </cell>
          <cell r="J4" t="str">
            <v>田村</v>
          </cell>
          <cell r="K4" t="str">
            <v>本田</v>
          </cell>
          <cell r="L4" t="str">
            <v>加藤</v>
          </cell>
          <cell r="M4" t="str">
            <v>大橋</v>
          </cell>
          <cell r="N4" t="str">
            <v>南</v>
          </cell>
          <cell r="O4" t="str">
            <v>庵</v>
          </cell>
          <cell r="P4" t="str">
            <v>田村</v>
          </cell>
          <cell r="Q4" t="str">
            <v>西郡</v>
          </cell>
          <cell r="R4" t="str">
            <v>佐藤恵</v>
          </cell>
          <cell r="S4" t="str">
            <v>薬司</v>
          </cell>
          <cell r="T4" t="str">
            <v>平田恵</v>
          </cell>
          <cell r="U4" t="str">
            <v>佐藤恵</v>
          </cell>
          <cell r="V4" t="str">
            <v>田村</v>
          </cell>
          <cell r="W4" t="str">
            <v>齊藤</v>
          </cell>
          <cell r="X4" t="str">
            <v>山本</v>
          </cell>
          <cell r="Y4" t="str">
            <v>加藤</v>
          </cell>
          <cell r="Z4" t="str">
            <v>大橋</v>
          </cell>
          <cell r="AA4" t="str">
            <v>薬司</v>
          </cell>
          <cell r="AB4" t="str">
            <v>西郡</v>
          </cell>
          <cell r="AC4" t="str">
            <v>加藤</v>
          </cell>
          <cell r="AD4" t="str">
            <v>田村</v>
          </cell>
          <cell r="AE4" t="str">
            <v>諸田</v>
          </cell>
          <cell r="AF4" t="str">
            <v>龍野</v>
          </cell>
          <cell r="AG4" t="str">
            <v>本田</v>
          </cell>
          <cell r="AH4" t="str">
            <v>松木</v>
          </cell>
        </row>
      </sheetData>
      <sheetData sheetId="9">
        <row r="1">
          <cell r="D1">
            <v>44013</v>
          </cell>
          <cell r="E1">
            <v>44014</v>
          </cell>
          <cell r="F1">
            <v>44015</v>
          </cell>
          <cell r="G1">
            <v>44016</v>
          </cell>
          <cell r="H1">
            <v>44017</v>
          </cell>
          <cell r="I1">
            <v>44018</v>
          </cell>
          <cell r="J1">
            <v>44019</v>
          </cell>
          <cell r="K1">
            <v>44020</v>
          </cell>
          <cell r="L1">
            <v>44021</v>
          </cell>
          <cell r="M1">
            <v>44022</v>
          </cell>
          <cell r="N1">
            <v>44023</v>
          </cell>
          <cell r="O1">
            <v>44024</v>
          </cell>
          <cell r="P1">
            <v>44025</v>
          </cell>
          <cell r="Q1">
            <v>44026</v>
          </cell>
          <cell r="R1">
            <v>44027</v>
          </cell>
          <cell r="S1">
            <v>44028</v>
          </cell>
          <cell r="T1">
            <v>44029</v>
          </cell>
          <cell r="U1">
            <v>44030</v>
          </cell>
          <cell r="V1">
            <v>44031</v>
          </cell>
          <cell r="W1">
            <v>44032</v>
          </cell>
          <cell r="X1">
            <v>44033</v>
          </cell>
          <cell r="Y1">
            <v>44034</v>
          </cell>
          <cell r="Z1">
            <v>44035</v>
          </cell>
          <cell r="AA1">
            <v>44036</v>
          </cell>
          <cell r="AB1">
            <v>44037</v>
          </cell>
          <cell r="AC1">
            <v>44038</v>
          </cell>
          <cell r="AD1">
            <v>44039</v>
          </cell>
          <cell r="AE1">
            <v>44040</v>
          </cell>
          <cell r="AF1">
            <v>44041</v>
          </cell>
          <cell r="AG1">
            <v>44042</v>
          </cell>
          <cell r="AH1">
            <v>44043</v>
          </cell>
        </row>
        <row r="2">
          <cell r="D2">
            <v>44013</v>
          </cell>
          <cell r="E2">
            <v>44014</v>
          </cell>
          <cell r="F2">
            <v>44015</v>
          </cell>
          <cell r="G2">
            <v>44016</v>
          </cell>
          <cell r="H2">
            <v>44017</v>
          </cell>
          <cell r="I2">
            <v>44018</v>
          </cell>
          <cell r="J2">
            <v>44019</v>
          </cell>
          <cell r="K2">
            <v>44020</v>
          </cell>
          <cell r="L2">
            <v>44021</v>
          </cell>
          <cell r="M2">
            <v>44022</v>
          </cell>
          <cell r="N2">
            <v>44023</v>
          </cell>
          <cell r="O2">
            <v>44024</v>
          </cell>
          <cell r="P2">
            <v>44025</v>
          </cell>
          <cell r="Q2">
            <v>44026</v>
          </cell>
          <cell r="R2">
            <v>44027</v>
          </cell>
          <cell r="S2">
            <v>44028</v>
          </cell>
          <cell r="T2">
            <v>44029</v>
          </cell>
          <cell r="U2">
            <v>44030</v>
          </cell>
          <cell r="V2">
            <v>44031</v>
          </cell>
          <cell r="W2">
            <v>44032</v>
          </cell>
          <cell r="X2">
            <v>44033</v>
          </cell>
          <cell r="Y2">
            <v>44034</v>
          </cell>
          <cell r="Z2">
            <v>44035</v>
          </cell>
          <cell r="AA2">
            <v>44036</v>
          </cell>
          <cell r="AB2">
            <v>44037</v>
          </cell>
          <cell r="AC2">
            <v>44038</v>
          </cell>
          <cell r="AD2">
            <v>44039</v>
          </cell>
          <cell r="AE2">
            <v>44040</v>
          </cell>
          <cell r="AF2">
            <v>44041</v>
          </cell>
          <cell r="AG2">
            <v>44042</v>
          </cell>
          <cell r="AH2">
            <v>44043</v>
          </cell>
        </row>
        <row r="3">
          <cell r="D3" t="str">
            <v>谷口</v>
          </cell>
          <cell r="E3" t="str">
            <v>佐藤恵</v>
          </cell>
          <cell r="F3" t="str">
            <v>南</v>
          </cell>
          <cell r="G3" t="str">
            <v>大畑</v>
          </cell>
          <cell r="H3" t="str">
            <v>宮崎</v>
          </cell>
          <cell r="I3" t="str">
            <v>中村</v>
          </cell>
          <cell r="J3" t="str">
            <v>山村</v>
          </cell>
          <cell r="K3" t="str">
            <v>薬司</v>
          </cell>
          <cell r="L3" t="str">
            <v>山田</v>
          </cell>
          <cell r="M3" t="str">
            <v>清水</v>
          </cell>
          <cell r="N3" t="str">
            <v>大畑</v>
          </cell>
          <cell r="O3" t="str">
            <v>宮崎</v>
          </cell>
          <cell r="P3" t="str">
            <v>阪井田</v>
          </cell>
          <cell r="Q3" t="str">
            <v>平田真</v>
          </cell>
          <cell r="R3" t="str">
            <v>齊藤</v>
          </cell>
          <cell r="S3" t="str">
            <v>清水</v>
          </cell>
          <cell r="T3" t="str">
            <v>薬司</v>
          </cell>
          <cell r="U3" t="str">
            <v>大畑</v>
          </cell>
          <cell r="V3" t="str">
            <v>宮崎</v>
          </cell>
          <cell r="W3" t="str">
            <v>阪井田</v>
          </cell>
          <cell r="X3" t="str">
            <v>大橋</v>
          </cell>
          <cell r="Y3" t="str">
            <v>山下</v>
          </cell>
          <cell r="Z3" t="str">
            <v>宮崎</v>
          </cell>
          <cell r="AA3" t="str">
            <v>宮崎</v>
          </cell>
          <cell r="AB3" t="str">
            <v>大畑</v>
          </cell>
          <cell r="AC3" t="str">
            <v>宮崎</v>
          </cell>
          <cell r="AD3" t="str">
            <v>中村</v>
          </cell>
          <cell r="AE3" t="str">
            <v>澤野</v>
          </cell>
          <cell r="AF3" t="str">
            <v>中井</v>
          </cell>
          <cell r="AG3" t="str">
            <v>大橋</v>
          </cell>
          <cell r="AH3" t="str">
            <v>山下</v>
          </cell>
        </row>
        <row r="4">
          <cell r="D4" t="str">
            <v>阪井田</v>
          </cell>
          <cell r="E4" t="str">
            <v>大畑</v>
          </cell>
          <cell r="F4" t="str">
            <v>澤野</v>
          </cell>
          <cell r="G4" t="str">
            <v>谷口</v>
          </cell>
          <cell r="H4" t="str">
            <v>奥</v>
          </cell>
          <cell r="I4" t="str">
            <v>南</v>
          </cell>
          <cell r="J4" t="str">
            <v>西郡</v>
          </cell>
          <cell r="K4" t="str">
            <v>谷口</v>
          </cell>
          <cell r="L4" t="str">
            <v>長田</v>
          </cell>
          <cell r="M4" t="str">
            <v>佐藤穂</v>
          </cell>
          <cell r="N4" t="str">
            <v>谷口</v>
          </cell>
          <cell r="O4" t="str">
            <v>奥</v>
          </cell>
          <cell r="P4" t="str">
            <v/>
          </cell>
          <cell r="Q4" t="str">
            <v>南</v>
          </cell>
          <cell r="R4" t="str">
            <v>庵</v>
          </cell>
          <cell r="S4" t="str">
            <v>田村</v>
          </cell>
          <cell r="T4" t="str">
            <v>西郡</v>
          </cell>
          <cell r="U4" t="str">
            <v>谷口</v>
          </cell>
          <cell r="V4" t="str">
            <v>奥</v>
          </cell>
          <cell r="W4" t="str">
            <v>諸田</v>
          </cell>
          <cell r="X4" t="str">
            <v>佐藤恵</v>
          </cell>
          <cell r="Y4" t="str">
            <v>田村</v>
          </cell>
          <cell r="Z4" t="str">
            <v>奥</v>
          </cell>
          <cell r="AA4" t="str">
            <v>奥</v>
          </cell>
          <cell r="AB4" t="str">
            <v>谷口</v>
          </cell>
          <cell r="AC4" t="str">
            <v>奥</v>
          </cell>
          <cell r="AD4" t="str">
            <v>吉田</v>
          </cell>
          <cell r="AE4" t="str">
            <v>清水</v>
          </cell>
          <cell r="AF4" t="str">
            <v>加藤</v>
          </cell>
          <cell r="AG4" t="str">
            <v>田村</v>
          </cell>
          <cell r="AH4" t="str">
            <v>大畑</v>
          </cell>
        </row>
        <row r="5">
          <cell r="D5" t="str">
            <v/>
          </cell>
          <cell r="E5" t="str">
            <v>谷口</v>
          </cell>
          <cell r="F5" t="str">
            <v>大畑</v>
          </cell>
          <cell r="G5" t="str">
            <v>阪井田</v>
          </cell>
          <cell r="H5" t="str">
            <v>山下</v>
          </cell>
          <cell r="I5" t="str">
            <v>薬司</v>
          </cell>
          <cell r="J5" t="str">
            <v>大畑</v>
          </cell>
          <cell r="K5" t="str">
            <v>阪井田</v>
          </cell>
          <cell r="L5" t="str">
            <v>齊藤</v>
          </cell>
          <cell r="M5" t="str">
            <v>大畑</v>
          </cell>
          <cell r="N5" t="str">
            <v>阪井田</v>
          </cell>
          <cell r="O5" t="str">
            <v>山下</v>
          </cell>
          <cell r="P5" t="str">
            <v/>
          </cell>
          <cell r="Q5" t="str">
            <v>大畑</v>
          </cell>
          <cell r="R5" t="str">
            <v>谷口</v>
          </cell>
          <cell r="S5" t="str">
            <v>大畑</v>
          </cell>
          <cell r="T5" t="str">
            <v>大畑</v>
          </cell>
          <cell r="U5" t="str">
            <v>阪井田</v>
          </cell>
          <cell r="V5" t="str">
            <v>山下</v>
          </cell>
          <cell r="W5" t="str">
            <v/>
          </cell>
          <cell r="X5" t="str">
            <v>薬司</v>
          </cell>
          <cell r="Y5" t="str">
            <v>西郡</v>
          </cell>
          <cell r="Z5" t="str">
            <v>山村</v>
          </cell>
          <cell r="AA5" t="str">
            <v>山村</v>
          </cell>
          <cell r="AB5" t="str">
            <v>阪井田</v>
          </cell>
          <cell r="AC5" t="str">
            <v>山下</v>
          </cell>
          <cell r="AD5" t="str">
            <v>阪井田</v>
          </cell>
          <cell r="AE5" t="str">
            <v>佐藤穂</v>
          </cell>
          <cell r="AF5" t="str">
            <v>大畑</v>
          </cell>
          <cell r="AG5" t="str">
            <v>大畑</v>
          </cell>
          <cell r="AH5" t="str">
            <v>谷口</v>
          </cell>
        </row>
        <row r="6">
          <cell r="D6" t="str">
            <v/>
          </cell>
          <cell r="E6" t="str">
            <v>阪井田</v>
          </cell>
          <cell r="F6" t="str">
            <v>谷口</v>
          </cell>
          <cell r="G6" t="str">
            <v>木田</v>
          </cell>
          <cell r="H6" t="str">
            <v>山村</v>
          </cell>
          <cell r="I6" t="str">
            <v>阪井田</v>
          </cell>
          <cell r="J6" t="str">
            <v>谷口</v>
          </cell>
          <cell r="K6" t="str">
            <v/>
          </cell>
          <cell r="L6" t="str">
            <v>大畑</v>
          </cell>
          <cell r="M6" t="str">
            <v>谷口</v>
          </cell>
          <cell r="N6" t="str">
            <v>木田</v>
          </cell>
          <cell r="O6" t="str">
            <v>山村</v>
          </cell>
          <cell r="P6" t="str">
            <v/>
          </cell>
          <cell r="Q6" t="str">
            <v>谷口</v>
          </cell>
          <cell r="R6" t="str">
            <v>阪井田</v>
          </cell>
          <cell r="S6" t="str">
            <v>谷口</v>
          </cell>
          <cell r="T6" t="str">
            <v>谷口</v>
          </cell>
          <cell r="U6" t="str">
            <v>木田</v>
          </cell>
          <cell r="V6" t="str">
            <v>山村</v>
          </cell>
          <cell r="W6" t="str">
            <v/>
          </cell>
          <cell r="X6" t="str">
            <v>大畑</v>
          </cell>
          <cell r="Y6" t="str">
            <v>谷口</v>
          </cell>
          <cell r="Z6" t="str">
            <v>殿田</v>
          </cell>
          <cell r="AA6" t="str">
            <v>殿田</v>
          </cell>
          <cell r="AB6" t="str">
            <v>木田</v>
          </cell>
          <cell r="AC6" t="str">
            <v>山村</v>
          </cell>
          <cell r="AD6" t="str">
            <v>松木</v>
          </cell>
          <cell r="AE6" t="str">
            <v>大畑</v>
          </cell>
          <cell r="AF6" t="str">
            <v>谷口</v>
          </cell>
          <cell r="AG6" t="str">
            <v>谷口</v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>殿田</v>
          </cell>
          <cell r="I7" t="str">
            <v/>
          </cell>
          <cell r="J7" t="str">
            <v/>
          </cell>
          <cell r="K7" t="str">
            <v/>
          </cell>
          <cell r="L7" t="str">
            <v>谷口</v>
          </cell>
          <cell r="M7" t="str">
            <v/>
          </cell>
          <cell r="N7" t="str">
            <v/>
          </cell>
          <cell r="O7" t="str">
            <v>殿田</v>
          </cell>
          <cell r="P7" t="str">
            <v/>
          </cell>
          <cell r="Q7" t="str">
            <v/>
          </cell>
          <cell r="R7" t="str">
            <v/>
          </cell>
          <cell r="S7" t="str">
            <v>阪井田</v>
          </cell>
          <cell r="T7" t="str">
            <v>阪井田</v>
          </cell>
          <cell r="U7" t="str">
            <v/>
          </cell>
          <cell r="V7" t="str">
            <v>殿田</v>
          </cell>
          <cell r="W7" t="str">
            <v/>
          </cell>
          <cell r="X7" t="str">
            <v>谷口</v>
          </cell>
          <cell r="Y7" t="str">
            <v>阪井田</v>
          </cell>
          <cell r="Z7" t="str">
            <v>森本</v>
          </cell>
          <cell r="AA7" t="str">
            <v>森本</v>
          </cell>
          <cell r="AB7" t="str">
            <v/>
          </cell>
          <cell r="AC7" t="str">
            <v>殿田</v>
          </cell>
          <cell r="AD7" t="str">
            <v/>
          </cell>
          <cell r="AE7" t="str">
            <v>谷口</v>
          </cell>
          <cell r="AF7" t="str">
            <v>阪井田</v>
          </cell>
          <cell r="AG7" t="str">
            <v>阪井田</v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>森本</v>
          </cell>
          <cell r="I8" t="str">
            <v/>
          </cell>
          <cell r="J8" t="str">
            <v/>
          </cell>
          <cell r="K8" t="str">
            <v/>
          </cell>
          <cell r="L8" t="str">
            <v>阪井田</v>
          </cell>
          <cell r="M8" t="str">
            <v/>
          </cell>
          <cell r="N8" t="str">
            <v/>
          </cell>
          <cell r="O8" t="str">
            <v>森本</v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>森本</v>
          </cell>
          <cell r="W8" t="str">
            <v/>
          </cell>
          <cell r="X8" t="str">
            <v/>
          </cell>
          <cell r="Y8" t="str">
            <v/>
          </cell>
          <cell r="Z8" t="str">
            <v>北</v>
          </cell>
          <cell r="AA8" t="str">
            <v>中井</v>
          </cell>
          <cell r="AB8" t="str">
            <v/>
          </cell>
          <cell r="AC8" t="str">
            <v>森本</v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>中井</v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>中井</v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>中井</v>
          </cell>
          <cell r="W9" t="str">
            <v/>
          </cell>
          <cell r="X9" t="str">
            <v/>
          </cell>
          <cell r="Y9" t="str">
            <v/>
          </cell>
          <cell r="Z9" t="str">
            <v>平田真</v>
          </cell>
          <cell r="AA9" t="str">
            <v>北</v>
          </cell>
          <cell r="AB9" t="str">
            <v/>
          </cell>
          <cell r="AC9" t="str">
            <v>中井</v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>北</v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>北</v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>北</v>
          </cell>
          <cell r="W10" t="str">
            <v/>
          </cell>
          <cell r="X10" t="str">
            <v/>
          </cell>
          <cell r="Y10" t="str">
            <v/>
          </cell>
          <cell r="Z10" t="str">
            <v>山本</v>
          </cell>
          <cell r="AA10" t="str">
            <v>中村</v>
          </cell>
          <cell r="AB10" t="str">
            <v/>
          </cell>
          <cell r="AC10" t="str">
            <v>北</v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44044</v>
          </cell>
          <cell r="E1">
            <v>44045</v>
          </cell>
          <cell r="F1">
            <v>44046</v>
          </cell>
          <cell r="G1">
            <v>44047</v>
          </cell>
          <cell r="H1">
            <v>44048</v>
          </cell>
          <cell r="I1">
            <v>44049</v>
          </cell>
          <cell r="J1">
            <v>44050</v>
          </cell>
          <cell r="K1">
            <v>44051</v>
          </cell>
          <cell r="L1">
            <v>44052</v>
          </cell>
          <cell r="M1">
            <v>44053</v>
          </cell>
          <cell r="N1">
            <v>44054</v>
          </cell>
          <cell r="O1">
            <v>44055</v>
          </cell>
          <cell r="P1">
            <v>44056</v>
          </cell>
          <cell r="Q1">
            <v>44057</v>
          </cell>
          <cell r="R1">
            <v>44058</v>
          </cell>
          <cell r="S1">
            <v>44059</v>
          </cell>
          <cell r="T1">
            <v>44060</v>
          </cell>
          <cell r="U1">
            <v>44061</v>
          </cell>
          <cell r="V1">
            <v>44062</v>
          </cell>
          <cell r="W1">
            <v>44063</v>
          </cell>
          <cell r="X1">
            <v>44064</v>
          </cell>
          <cell r="Y1">
            <v>44065</v>
          </cell>
          <cell r="Z1">
            <v>44066</v>
          </cell>
          <cell r="AA1">
            <v>44067</v>
          </cell>
          <cell r="AB1">
            <v>44068</v>
          </cell>
          <cell r="AC1">
            <v>44069</v>
          </cell>
          <cell r="AD1">
            <v>44070</v>
          </cell>
          <cell r="AE1">
            <v>44071</v>
          </cell>
          <cell r="AF1">
            <v>44072</v>
          </cell>
          <cell r="AG1">
            <v>44073</v>
          </cell>
          <cell r="AH1">
            <v>44074</v>
          </cell>
        </row>
        <row r="2">
          <cell r="D2">
            <v>44044</v>
          </cell>
          <cell r="E2">
            <v>44045</v>
          </cell>
          <cell r="F2">
            <v>44046</v>
          </cell>
          <cell r="G2">
            <v>44047</v>
          </cell>
          <cell r="H2">
            <v>44048</v>
          </cell>
          <cell r="I2">
            <v>44049</v>
          </cell>
          <cell r="J2">
            <v>44050</v>
          </cell>
          <cell r="K2">
            <v>44051</v>
          </cell>
          <cell r="L2">
            <v>44052</v>
          </cell>
          <cell r="M2">
            <v>44053</v>
          </cell>
          <cell r="N2">
            <v>44054</v>
          </cell>
          <cell r="O2">
            <v>44055</v>
          </cell>
          <cell r="P2">
            <v>44056</v>
          </cell>
          <cell r="Q2">
            <v>44057</v>
          </cell>
          <cell r="R2">
            <v>44058</v>
          </cell>
          <cell r="S2">
            <v>44059</v>
          </cell>
          <cell r="T2">
            <v>44060</v>
          </cell>
          <cell r="U2">
            <v>44061</v>
          </cell>
          <cell r="V2">
            <v>44062</v>
          </cell>
          <cell r="W2">
            <v>44063</v>
          </cell>
          <cell r="X2">
            <v>44064</v>
          </cell>
          <cell r="Y2">
            <v>44065</v>
          </cell>
          <cell r="Z2">
            <v>44066</v>
          </cell>
          <cell r="AA2">
            <v>44067</v>
          </cell>
          <cell r="AB2">
            <v>44068</v>
          </cell>
          <cell r="AC2">
            <v>44069</v>
          </cell>
          <cell r="AD2">
            <v>44070</v>
          </cell>
          <cell r="AE2">
            <v>44071</v>
          </cell>
          <cell r="AF2">
            <v>44072</v>
          </cell>
          <cell r="AG2">
            <v>44073</v>
          </cell>
          <cell r="AH2">
            <v>44074</v>
          </cell>
        </row>
        <row r="3">
          <cell r="D3" t="str">
            <v>澤野</v>
          </cell>
          <cell r="E3" t="str">
            <v>山田</v>
          </cell>
          <cell r="F3" t="str">
            <v>山本</v>
          </cell>
          <cell r="G3" t="str">
            <v>中村</v>
          </cell>
          <cell r="H3" t="str">
            <v>中井</v>
          </cell>
          <cell r="I3" t="str">
            <v>大橋</v>
          </cell>
          <cell r="J3" t="str">
            <v>山村</v>
          </cell>
          <cell r="K3" t="str">
            <v>田村</v>
          </cell>
          <cell r="L3" t="str">
            <v>大橋</v>
          </cell>
          <cell r="M3" t="str">
            <v>清水</v>
          </cell>
          <cell r="N3" t="str">
            <v>龍野</v>
          </cell>
          <cell r="O3" t="str">
            <v>中村</v>
          </cell>
          <cell r="P3" t="str">
            <v>山田</v>
          </cell>
          <cell r="Q3" t="str">
            <v>中井</v>
          </cell>
          <cell r="R3" t="str">
            <v>山下</v>
          </cell>
          <cell r="S3" t="str">
            <v>山本</v>
          </cell>
          <cell r="T3" t="str">
            <v>本田</v>
          </cell>
          <cell r="U3" t="str">
            <v>大橋</v>
          </cell>
          <cell r="V3" t="str">
            <v>西郡</v>
          </cell>
          <cell r="W3" t="str">
            <v>長田</v>
          </cell>
          <cell r="X3" t="str">
            <v>田村</v>
          </cell>
          <cell r="Y3" t="str">
            <v>佐藤穂</v>
          </cell>
          <cell r="Z3" t="str">
            <v>齊藤</v>
          </cell>
          <cell r="AA3" t="str">
            <v>大橋</v>
          </cell>
          <cell r="AB3" t="str">
            <v>山本</v>
          </cell>
          <cell r="AC3" t="str">
            <v>山村</v>
          </cell>
          <cell r="AD3" t="str">
            <v>大橋</v>
          </cell>
          <cell r="AE3" t="str">
            <v>山下</v>
          </cell>
          <cell r="AF3" t="str">
            <v>佐藤恵</v>
          </cell>
          <cell r="AG3" t="str">
            <v>田村</v>
          </cell>
          <cell r="AH3" t="str">
            <v>中井</v>
          </cell>
        </row>
        <row r="4">
          <cell r="D4" t="str">
            <v>清水</v>
          </cell>
          <cell r="E4" t="str">
            <v>田村</v>
          </cell>
          <cell r="F4" t="str">
            <v>長田</v>
          </cell>
          <cell r="G4" t="str">
            <v>南</v>
          </cell>
          <cell r="H4" t="str">
            <v>加藤</v>
          </cell>
          <cell r="I4" t="str">
            <v>薬司</v>
          </cell>
          <cell r="J4" t="str">
            <v>清水</v>
          </cell>
          <cell r="K4" t="str">
            <v>松木</v>
          </cell>
          <cell r="L4" t="str">
            <v>諸田</v>
          </cell>
          <cell r="M4" t="str">
            <v>齊藤</v>
          </cell>
          <cell r="N4" t="str">
            <v>西郡</v>
          </cell>
          <cell r="O4" t="str">
            <v>澤野</v>
          </cell>
          <cell r="P4" t="str">
            <v>加藤</v>
          </cell>
          <cell r="Q4" t="str">
            <v>西郡</v>
          </cell>
          <cell r="R4" t="str">
            <v>清水</v>
          </cell>
          <cell r="S4" t="str">
            <v>平田恵</v>
          </cell>
          <cell r="T4" t="str">
            <v>薬司</v>
          </cell>
          <cell r="U4" t="str">
            <v>南</v>
          </cell>
          <cell r="V4" t="str">
            <v>松木</v>
          </cell>
          <cell r="W4" t="str">
            <v>龍野</v>
          </cell>
          <cell r="X4" t="str">
            <v>佐藤恵</v>
          </cell>
          <cell r="Y4" t="str">
            <v>薬司</v>
          </cell>
          <cell r="Z4" t="str">
            <v>加藤</v>
          </cell>
          <cell r="AA4" t="str">
            <v>山田</v>
          </cell>
          <cell r="AB4" t="str">
            <v>澤野</v>
          </cell>
          <cell r="AC4" t="str">
            <v>長田</v>
          </cell>
          <cell r="AD4" t="str">
            <v>庵</v>
          </cell>
          <cell r="AE4" t="str">
            <v>龍野</v>
          </cell>
          <cell r="AF4" t="str">
            <v>諸田</v>
          </cell>
          <cell r="AG4" t="str">
            <v>本田</v>
          </cell>
          <cell r="AH4" t="str">
            <v>中村</v>
          </cell>
        </row>
      </sheetData>
      <sheetData sheetId="9">
        <row r="1">
          <cell r="D1">
            <v>44044</v>
          </cell>
          <cell r="E1">
            <v>44045</v>
          </cell>
          <cell r="F1">
            <v>44046</v>
          </cell>
          <cell r="G1">
            <v>44047</v>
          </cell>
          <cell r="H1">
            <v>44048</v>
          </cell>
          <cell r="I1">
            <v>44049</v>
          </cell>
          <cell r="J1">
            <v>44050</v>
          </cell>
          <cell r="K1">
            <v>44051</v>
          </cell>
          <cell r="L1">
            <v>44052</v>
          </cell>
          <cell r="M1">
            <v>44053</v>
          </cell>
          <cell r="N1">
            <v>44054</v>
          </cell>
          <cell r="O1">
            <v>44055</v>
          </cell>
          <cell r="P1">
            <v>44056</v>
          </cell>
          <cell r="Q1">
            <v>44057</v>
          </cell>
          <cell r="R1">
            <v>44058</v>
          </cell>
          <cell r="S1">
            <v>44059</v>
          </cell>
          <cell r="T1">
            <v>44060</v>
          </cell>
          <cell r="U1">
            <v>44061</v>
          </cell>
          <cell r="V1">
            <v>44062</v>
          </cell>
          <cell r="W1">
            <v>44063</v>
          </cell>
          <cell r="X1">
            <v>44064</v>
          </cell>
          <cell r="Y1">
            <v>44065</v>
          </cell>
          <cell r="Z1">
            <v>44066</v>
          </cell>
          <cell r="AA1">
            <v>44067</v>
          </cell>
          <cell r="AB1">
            <v>44068</v>
          </cell>
          <cell r="AC1">
            <v>44069</v>
          </cell>
          <cell r="AD1">
            <v>44070</v>
          </cell>
          <cell r="AE1">
            <v>44071</v>
          </cell>
          <cell r="AF1">
            <v>44072</v>
          </cell>
          <cell r="AG1">
            <v>44073</v>
          </cell>
          <cell r="AH1">
            <v>44074</v>
          </cell>
        </row>
        <row r="2">
          <cell r="D2">
            <v>44044</v>
          </cell>
          <cell r="E2">
            <v>44045</v>
          </cell>
          <cell r="F2">
            <v>44046</v>
          </cell>
          <cell r="G2">
            <v>44047</v>
          </cell>
          <cell r="H2">
            <v>44048</v>
          </cell>
          <cell r="I2">
            <v>44049</v>
          </cell>
          <cell r="J2">
            <v>44050</v>
          </cell>
          <cell r="K2">
            <v>44051</v>
          </cell>
          <cell r="L2">
            <v>44052</v>
          </cell>
          <cell r="M2">
            <v>44053</v>
          </cell>
          <cell r="N2">
            <v>44054</v>
          </cell>
          <cell r="O2">
            <v>44055</v>
          </cell>
          <cell r="P2">
            <v>44056</v>
          </cell>
          <cell r="Q2">
            <v>44057</v>
          </cell>
          <cell r="R2">
            <v>44058</v>
          </cell>
          <cell r="S2">
            <v>44059</v>
          </cell>
          <cell r="T2">
            <v>44060</v>
          </cell>
          <cell r="U2">
            <v>44061</v>
          </cell>
          <cell r="V2">
            <v>44062</v>
          </cell>
          <cell r="W2">
            <v>44063</v>
          </cell>
          <cell r="X2">
            <v>44064</v>
          </cell>
          <cell r="Y2">
            <v>44065</v>
          </cell>
          <cell r="Z2">
            <v>44066</v>
          </cell>
          <cell r="AA2">
            <v>44067</v>
          </cell>
          <cell r="AB2">
            <v>44068</v>
          </cell>
          <cell r="AC2">
            <v>44069</v>
          </cell>
          <cell r="AD2">
            <v>44070</v>
          </cell>
          <cell r="AE2">
            <v>44071</v>
          </cell>
          <cell r="AF2">
            <v>44072</v>
          </cell>
          <cell r="AG2">
            <v>44073</v>
          </cell>
          <cell r="AH2">
            <v>44074</v>
          </cell>
        </row>
        <row r="3">
          <cell r="D3" t="str">
            <v>大畑</v>
          </cell>
          <cell r="E3" t="str">
            <v>宮崎</v>
          </cell>
          <cell r="F3" t="str">
            <v>田村</v>
          </cell>
          <cell r="G3" t="str">
            <v>山田</v>
          </cell>
          <cell r="H3" t="str">
            <v>山本</v>
          </cell>
          <cell r="I3" t="str">
            <v>佐藤恵</v>
          </cell>
          <cell r="J3" t="str">
            <v>山下</v>
          </cell>
          <cell r="K3" t="str">
            <v>大畑</v>
          </cell>
          <cell r="L3" t="str">
            <v>宮崎</v>
          </cell>
          <cell r="M3" t="str">
            <v>宮崎</v>
          </cell>
          <cell r="N3" t="str">
            <v>田村</v>
          </cell>
          <cell r="O3" t="str">
            <v>中井</v>
          </cell>
          <cell r="P3" t="str">
            <v>奥</v>
          </cell>
          <cell r="Q3" t="str">
            <v>齊藤</v>
          </cell>
          <cell r="R3" t="str">
            <v>宮崎</v>
          </cell>
          <cell r="S3" t="str">
            <v>宮崎</v>
          </cell>
          <cell r="T3" t="str">
            <v>齊藤</v>
          </cell>
          <cell r="U3" t="str">
            <v>龍野</v>
          </cell>
          <cell r="V3" t="str">
            <v>大橋</v>
          </cell>
          <cell r="W3" t="str">
            <v>山本</v>
          </cell>
          <cell r="X3" t="str">
            <v>山下</v>
          </cell>
          <cell r="Y3" t="str">
            <v>大畑</v>
          </cell>
          <cell r="Z3" t="str">
            <v>宮崎</v>
          </cell>
          <cell r="AA3" t="str">
            <v>平田恵</v>
          </cell>
          <cell r="AB3" t="str">
            <v>清水</v>
          </cell>
          <cell r="AC3" t="str">
            <v>中村</v>
          </cell>
          <cell r="AD3" t="str">
            <v>齊藤</v>
          </cell>
          <cell r="AE3" t="str">
            <v>清水</v>
          </cell>
          <cell r="AF3" t="str">
            <v>大畑</v>
          </cell>
          <cell r="AG3" t="str">
            <v>宮崎</v>
          </cell>
          <cell r="AH3" t="str">
            <v>澤野</v>
          </cell>
        </row>
        <row r="4">
          <cell r="D4" t="str">
            <v>谷口</v>
          </cell>
          <cell r="E4" t="str">
            <v>奥</v>
          </cell>
          <cell r="F4" t="str">
            <v>薬司</v>
          </cell>
          <cell r="G4" t="str">
            <v>田村</v>
          </cell>
          <cell r="H4" t="str">
            <v>長田</v>
          </cell>
          <cell r="I4" t="str">
            <v>大畑</v>
          </cell>
          <cell r="J4" t="str">
            <v>本田</v>
          </cell>
          <cell r="K4" t="str">
            <v>谷口</v>
          </cell>
          <cell r="L4" t="str">
            <v>山下</v>
          </cell>
          <cell r="M4" t="str">
            <v>奥</v>
          </cell>
          <cell r="N4" t="str">
            <v>大畑</v>
          </cell>
          <cell r="O4" t="str">
            <v>大橋</v>
          </cell>
          <cell r="P4" t="str">
            <v>清水</v>
          </cell>
          <cell r="Q4" t="str">
            <v>大畑</v>
          </cell>
          <cell r="R4" t="str">
            <v>奥</v>
          </cell>
          <cell r="S4" t="str">
            <v>奥</v>
          </cell>
          <cell r="T4" t="str">
            <v>西郡</v>
          </cell>
          <cell r="U4" t="str">
            <v>大畑</v>
          </cell>
          <cell r="V4" t="str">
            <v>南</v>
          </cell>
          <cell r="W4" t="str">
            <v>西郡</v>
          </cell>
          <cell r="X4" t="str">
            <v>山本</v>
          </cell>
          <cell r="Y4" t="str">
            <v>谷口</v>
          </cell>
          <cell r="Z4" t="str">
            <v>奥</v>
          </cell>
          <cell r="AA4" t="str">
            <v>本田</v>
          </cell>
          <cell r="AB4" t="str">
            <v>平田恵</v>
          </cell>
          <cell r="AC4" t="str">
            <v>薬司</v>
          </cell>
          <cell r="AD4" t="str">
            <v>加藤</v>
          </cell>
          <cell r="AE4" t="str">
            <v>山田</v>
          </cell>
          <cell r="AF4" t="str">
            <v>谷口</v>
          </cell>
          <cell r="AG4" t="str">
            <v>奥</v>
          </cell>
          <cell r="AH4" t="str">
            <v>谷口</v>
          </cell>
        </row>
        <row r="5">
          <cell r="D5" t="str">
            <v>阪井田</v>
          </cell>
          <cell r="E5" t="str">
            <v>山下</v>
          </cell>
          <cell r="F5" t="str">
            <v>阪井田</v>
          </cell>
          <cell r="G5" t="str">
            <v>大畑</v>
          </cell>
          <cell r="H5" t="str">
            <v>大畑</v>
          </cell>
          <cell r="I5" t="str">
            <v>谷口</v>
          </cell>
          <cell r="J5" t="str">
            <v>大畑</v>
          </cell>
          <cell r="K5" t="str">
            <v>阪井田</v>
          </cell>
          <cell r="L5" t="str">
            <v>山村</v>
          </cell>
          <cell r="M5" t="str">
            <v>山村</v>
          </cell>
          <cell r="N5" t="str">
            <v>谷口</v>
          </cell>
          <cell r="O5" t="str">
            <v>大畑</v>
          </cell>
          <cell r="P5" t="str">
            <v>大畑</v>
          </cell>
          <cell r="Q5" t="str">
            <v/>
          </cell>
          <cell r="R5" t="str">
            <v>山村</v>
          </cell>
          <cell r="S5" t="str">
            <v>山下</v>
          </cell>
          <cell r="T5" t="str">
            <v>阪井田</v>
          </cell>
          <cell r="U5" t="str">
            <v>谷口</v>
          </cell>
          <cell r="V5" t="str">
            <v>谷口</v>
          </cell>
          <cell r="W5" t="str">
            <v>大畑</v>
          </cell>
          <cell r="X5" t="str">
            <v>平田恵</v>
          </cell>
          <cell r="Y5" t="str">
            <v>阪井田</v>
          </cell>
          <cell r="Z5" t="str">
            <v>山下</v>
          </cell>
          <cell r="AA5" t="str">
            <v>薬司</v>
          </cell>
          <cell r="AB5" t="str">
            <v>大畑</v>
          </cell>
          <cell r="AC5" t="str">
            <v>谷口</v>
          </cell>
          <cell r="AD5" t="str">
            <v>佐藤穂</v>
          </cell>
          <cell r="AE5" t="str">
            <v>大畑</v>
          </cell>
          <cell r="AF5" t="str">
            <v>阪井田</v>
          </cell>
          <cell r="AG5" t="str">
            <v>山下</v>
          </cell>
          <cell r="AH5" t="str">
            <v>阪井田</v>
          </cell>
        </row>
        <row r="6">
          <cell r="D6" t="str">
            <v>木田</v>
          </cell>
          <cell r="E6" t="str">
            <v>山村</v>
          </cell>
          <cell r="F6" t="str">
            <v/>
          </cell>
          <cell r="G6" t="str">
            <v>谷口</v>
          </cell>
          <cell r="H6" t="str">
            <v>阪井田</v>
          </cell>
          <cell r="I6" t="str">
            <v>阪井田</v>
          </cell>
          <cell r="J6" t="str">
            <v>谷口</v>
          </cell>
          <cell r="K6" t="str">
            <v>木田</v>
          </cell>
          <cell r="L6" t="str">
            <v>殿田</v>
          </cell>
          <cell r="M6" t="str">
            <v>殿田</v>
          </cell>
          <cell r="N6" t="str">
            <v>阪井田</v>
          </cell>
          <cell r="O6" t="str">
            <v>阪井田</v>
          </cell>
          <cell r="P6" t="str">
            <v>谷口</v>
          </cell>
          <cell r="Q6" t="str">
            <v/>
          </cell>
          <cell r="R6" t="str">
            <v>殿田</v>
          </cell>
          <cell r="S6" t="str">
            <v>山村</v>
          </cell>
          <cell r="T6" t="str">
            <v/>
          </cell>
          <cell r="U6" t="str">
            <v>諸田</v>
          </cell>
          <cell r="V6" t="str">
            <v>阪井田</v>
          </cell>
          <cell r="W6" t="str">
            <v>谷口</v>
          </cell>
          <cell r="X6" t="str">
            <v>大畑</v>
          </cell>
          <cell r="Y6" t="str">
            <v>木田</v>
          </cell>
          <cell r="Z6" t="str">
            <v>山村</v>
          </cell>
          <cell r="AA6" t="str">
            <v>阪井田</v>
          </cell>
          <cell r="AB6" t="str">
            <v>谷口</v>
          </cell>
          <cell r="AC6" t="str">
            <v>阪井田</v>
          </cell>
          <cell r="AD6" t="str">
            <v>大畑</v>
          </cell>
          <cell r="AE6" t="str">
            <v>谷口</v>
          </cell>
          <cell r="AF6" t="str">
            <v>木田</v>
          </cell>
          <cell r="AG6" t="str">
            <v>山村</v>
          </cell>
          <cell r="AH6" t="str">
            <v/>
          </cell>
        </row>
        <row r="7">
          <cell r="D7" t="str">
            <v/>
          </cell>
          <cell r="E7" t="str">
            <v>殿田</v>
          </cell>
          <cell r="F7" t="str">
            <v/>
          </cell>
          <cell r="G7" t="str">
            <v/>
          </cell>
          <cell r="H7" t="str">
            <v/>
          </cell>
          <cell r="I7" t="str">
            <v>諸田</v>
          </cell>
          <cell r="J7" t="str">
            <v>阪井田</v>
          </cell>
          <cell r="K7" t="str">
            <v/>
          </cell>
          <cell r="L7" t="str">
            <v>森本</v>
          </cell>
          <cell r="M7" t="str">
            <v>森本</v>
          </cell>
          <cell r="N7" t="str">
            <v>松木</v>
          </cell>
          <cell r="O7" t="str">
            <v/>
          </cell>
          <cell r="P7" t="str">
            <v>阪井田</v>
          </cell>
          <cell r="Q7" t="str">
            <v/>
          </cell>
          <cell r="R7" t="str">
            <v>森本</v>
          </cell>
          <cell r="S7" t="str">
            <v>殿田</v>
          </cell>
          <cell r="T7" t="str">
            <v/>
          </cell>
          <cell r="U7" t="str">
            <v/>
          </cell>
          <cell r="V7" t="str">
            <v/>
          </cell>
          <cell r="W7" t="str">
            <v>阪井田</v>
          </cell>
          <cell r="X7" t="str">
            <v>阪井田</v>
          </cell>
          <cell r="Y7" t="str">
            <v/>
          </cell>
          <cell r="Z7" t="str">
            <v>殿田</v>
          </cell>
          <cell r="AA7" t="str">
            <v/>
          </cell>
          <cell r="AB7" t="str">
            <v/>
          </cell>
          <cell r="AC7" t="str">
            <v/>
          </cell>
          <cell r="AD7" t="str">
            <v>谷口</v>
          </cell>
          <cell r="AE7" t="str">
            <v/>
          </cell>
          <cell r="AF7" t="str">
            <v/>
          </cell>
          <cell r="AG7" t="str">
            <v>殿田</v>
          </cell>
          <cell r="AH7" t="str">
            <v/>
          </cell>
        </row>
        <row r="8">
          <cell r="D8" t="str">
            <v/>
          </cell>
          <cell r="E8" t="str">
            <v>森本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>中井</v>
          </cell>
          <cell r="M8" t="str">
            <v>中井</v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>中井</v>
          </cell>
          <cell r="S8" t="str">
            <v>森本</v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>森本</v>
          </cell>
          <cell r="AA8" t="str">
            <v/>
          </cell>
          <cell r="AB8" t="str">
            <v/>
          </cell>
          <cell r="AC8" t="str">
            <v/>
          </cell>
          <cell r="AD8" t="str">
            <v>阪井田</v>
          </cell>
          <cell r="AE8" t="str">
            <v/>
          </cell>
          <cell r="AF8" t="str">
            <v/>
          </cell>
          <cell r="AG8" t="str">
            <v>森本</v>
          </cell>
          <cell r="AH8" t="str">
            <v/>
          </cell>
        </row>
        <row r="9">
          <cell r="D9" t="str">
            <v/>
          </cell>
          <cell r="E9" t="str">
            <v>中井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>北</v>
          </cell>
          <cell r="M9" t="str">
            <v>北</v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>北</v>
          </cell>
          <cell r="S9" t="str">
            <v>中井</v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>中井</v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>北</v>
          </cell>
          <cell r="AH9" t="str">
            <v/>
          </cell>
        </row>
        <row r="10">
          <cell r="D10" t="str">
            <v/>
          </cell>
          <cell r="E10" t="str">
            <v>北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>中村</v>
          </cell>
          <cell r="M10" t="str">
            <v>中村</v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>中村</v>
          </cell>
          <cell r="S10" t="str">
            <v>北</v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>北</v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>平田真</v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44075</v>
          </cell>
          <cell r="E1">
            <v>44076</v>
          </cell>
          <cell r="F1">
            <v>44077</v>
          </cell>
          <cell r="G1">
            <v>44078</v>
          </cell>
          <cell r="H1">
            <v>44079</v>
          </cell>
          <cell r="I1">
            <v>44080</v>
          </cell>
          <cell r="J1">
            <v>44081</v>
          </cell>
          <cell r="K1">
            <v>44082</v>
          </cell>
          <cell r="L1">
            <v>44083</v>
          </cell>
          <cell r="M1">
            <v>44084</v>
          </cell>
          <cell r="N1">
            <v>44085</v>
          </cell>
          <cell r="O1">
            <v>44086</v>
          </cell>
          <cell r="P1">
            <v>44087</v>
          </cell>
          <cell r="Q1">
            <v>44088</v>
          </cell>
          <cell r="R1">
            <v>44089</v>
          </cell>
          <cell r="S1">
            <v>44090</v>
          </cell>
          <cell r="T1">
            <v>44091</v>
          </cell>
          <cell r="U1">
            <v>44092</v>
          </cell>
          <cell r="V1">
            <v>44093</v>
          </cell>
          <cell r="W1">
            <v>44094</v>
          </cell>
          <cell r="X1">
            <v>44095</v>
          </cell>
          <cell r="Y1">
            <v>44096</v>
          </cell>
          <cell r="Z1">
            <v>44097</v>
          </cell>
          <cell r="AA1">
            <v>44098</v>
          </cell>
          <cell r="AB1">
            <v>44099</v>
          </cell>
          <cell r="AC1">
            <v>44100</v>
          </cell>
          <cell r="AD1">
            <v>44101</v>
          </cell>
          <cell r="AE1">
            <v>44102</v>
          </cell>
          <cell r="AF1">
            <v>44103</v>
          </cell>
          <cell r="AG1">
            <v>44104</v>
          </cell>
          <cell r="AH1" t="str">
            <v/>
          </cell>
        </row>
        <row r="2">
          <cell r="D2">
            <v>44075</v>
          </cell>
          <cell r="E2">
            <v>44076</v>
          </cell>
          <cell r="F2">
            <v>44077</v>
          </cell>
          <cell r="G2">
            <v>44078</v>
          </cell>
          <cell r="H2">
            <v>44079</v>
          </cell>
          <cell r="I2">
            <v>44080</v>
          </cell>
          <cell r="J2">
            <v>44081</v>
          </cell>
          <cell r="K2">
            <v>44082</v>
          </cell>
          <cell r="L2">
            <v>44083</v>
          </cell>
          <cell r="M2">
            <v>44084</v>
          </cell>
          <cell r="N2">
            <v>44085</v>
          </cell>
          <cell r="O2">
            <v>44086</v>
          </cell>
          <cell r="P2">
            <v>44087</v>
          </cell>
          <cell r="Q2">
            <v>44088</v>
          </cell>
          <cell r="R2">
            <v>44089</v>
          </cell>
          <cell r="S2">
            <v>44090</v>
          </cell>
          <cell r="T2">
            <v>44091</v>
          </cell>
          <cell r="U2">
            <v>44092</v>
          </cell>
          <cell r="V2">
            <v>44093</v>
          </cell>
          <cell r="W2">
            <v>44094</v>
          </cell>
          <cell r="X2">
            <v>44095</v>
          </cell>
          <cell r="Y2">
            <v>44096</v>
          </cell>
          <cell r="Z2">
            <v>44097</v>
          </cell>
          <cell r="AA2">
            <v>44098</v>
          </cell>
          <cell r="AB2">
            <v>44099</v>
          </cell>
          <cell r="AC2">
            <v>44100</v>
          </cell>
          <cell r="AD2">
            <v>44101</v>
          </cell>
          <cell r="AE2">
            <v>44102</v>
          </cell>
          <cell r="AF2">
            <v>44103</v>
          </cell>
          <cell r="AG2">
            <v>44104</v>
          </cell>
          <cell r="AH2" t="str">
            <v/>
          </cell>
        </row>
        <row r="3">
          <cell r="D3" t="str">
            <v>清水</v>
          </cell>
          <cell r="E3" t="str">
            <v>齊藤</v>
          </cell>
          <cell r="F3" t="str">
            <v>南</v>
          </cell>
          <cell r="G3" t="str">
            <v>中村</v>
          </cell>
          <cell r="H3" t="str">
            <v>田村</v>
          </cell>
          <cell r="I3" t="str">
            <v>大橋</v>
          </cell>
          <cell r="J3" t="str">
            <v>清水</v>
          </cell>
          <cell r="K3" t="str">
            <v>山田</v>
          </cell>
          <cell r="L3" t="str">
            <v>佐藤恵</v>
          </cell>
          <cell r="M3" t="str">
            <v>清水</v>
          </cell>
          <cell r="N3" t="str">
            <v>大橋</v>
          </cell>
          <cell r="O3" t="str">
            <v>長田</v>
          </cell>
          <cell r="P3" t="str">
            <v>山下</v>
          </cell>
          <cell r="Q3" t="str">
            <v>山村</v>
          </cell>
          <cell r="R3" t="str">
            <v>中井</v>
          </cell>
          <cell r="S3" t="str">
            <v>長田</v>
          </cell>
          <cell r="T3" t="str">
            <v>澤野</v>
          </cell>
          <cell r="U3" t="str">
            <v>中村</v>
          </cell>
          <cell r="V3" t="str">
            <v>南</v>
          </cell>
          <cell r="W3" t="str">
            <v>大橋</v>
          </cell>
          <cell r="X3" t="str">
            <v>庵</v>
          </cell>
          <cell r="Y3" t="str">
            <v>田村</v>
          </cell>
          <cell r="Z3" t="str">
            <v>山下</v>
          </cell>
          <cell r="AA3" t="str">
            <v>南</v>
          </cell>
          <cell r="AB3" t="str">
            <v>佐藤穂</v>
          </cell>
          <cell r="AC3" t="str">
            <v>庵</v>
          </cell>
          <cell r="AD3" t="str">
            <v>平田恵</v>
          </cell>
          <cell r="AE3" t="str">
            <v>澤野</v>
          </cell>
          <cell r="AF3" t="str">
            <v>中井</v>
          </cell>
          <cell r="AG3" t="str">
            <v>長田</v>
          </cell>
          <cell r="AH3" t="str">
            <v/>
          </cell>
        </row>
        <row r="4">
          <cell r="D4" t="str">
            <v>平田恵</v>
          </cell>
          <cell r="E4" t="str">
            <v>加藤</v>
          </cell>
          <cell r="F4" t="str">
            <v>西郡</v>
          </cell>
          <cell r="G4" t="str">
            <v>山本</v>
          </cell>
          <cell r="H4" t="str">
            <v>松木</v>
          </cell>
          <cell r="I4" t="str">
            <v>澤野</v>
          </cell>
          <cell r="J4" t="str">
            <v>本田</v>
          </cell>
          <cell r="K4" t="str">
            <v>田村</v>
          </cell>
          <cell r="L4" t="str">
            <v>薬司</v>
          </cell>
          <cell r="M4" t="str">
            <v>諸田</v>
          </cell>
          <cell r="N4" t="str">
            <v>佐藤穂</v>
          </cell>
          <cell r="O4" t="str">
            <v>龍野</v>
          </cell>
          <cell r="P4" t="str">
            <v>西郡</v>
          </cell>
          <cell r="Q4" t="str">
            <v>加藤</v>
          </cell>
          <cell r="R4" t="str">
            <v>松木</v>
          </cell>
          <cell r="S4" t="str">
            <v>齊藤</v>
          </cell>
          <cell r="T4" t="str">
            <v>平田恵</v>
          </cell>
          <cell r="U4" t="str">
            <v>山本</v>
          </cell>
          <cell r="V4" t="str">
            <v>山田</v>
          </cell>
          <cell r="W4" t="str">
            <v>佐藤恵</v>
          </cell>
          <cell r="X4" t="str">
            <v>西郡</v>
          </cell>
          <cell r="Y4" t="str">
            <v>諸田</v>
          </cell>
          <cell r="Z4" t="str">
            <v>加藤</v>
          </cell>
          <cell r="AA4" t="str">
            <v>本田</v>
          </cell>
          <cell r="AB4" t="str">
            <v>薬司</v>
          </cell>
          <cell r="AC4" t="str">
            <v>龍野</v>
          </cell>
          <cell r="AD4" t="str">
            <v>田村</v>
          </cell>
          <cell r="AE4" t="str">
            <v>清水</v>
          </cell>
          <cell r="AF4" t="str">
            <v>大橋</v>
          </cell>
          <cell r="AG4" t="str">
            <v>佐藤恵</v>
          </cell>
          <cell r="AH4" t="str">
            <v/>
          </cell>
        </row>
      </sheetData>
      <sheetData sheetId="9">
        <row r="1">
          <cell r="D1">
            <v>44075</v>
          </cell>
          <cell r="E1">
            <v>44076</v>
          </cell>
          <cell r="F1">
            <v>44077</v>
          </cell>
          <cell r="G1">
            <v>44078</v>
          </cell>
          <cell r="H1">
            <v>44079</v>
          </cell>
          <cell r="I1">
            <v>44080</v>
          </cell>
          <cell r="J1">
            <v>44081</v>
          </cell>
          <cell r="K1">
            <v>44082</v>
          </cell>
          <cell r="L1">
            <v>44083</v>
          </cell>
          <cell r="M1">
            <v>44084</v>
          </cell>
          <cell r="N1">
            <v>44085</v>
          </cell>
          <cell r="O1">
            <v>44086</v>
          </cell>
          <cell r="P1">
            <v>44087</v>
          </cell>
          <cell r="Q1">
            <v>44088</v>
          </cell>
          <cell r="R1">
            <v>44089</v>
          </cell>
          <cell r="S1">
            <v>44090</v>
          </cell>
          <cell r="T1">
            <v>44091</v>
          </cell>
          <cell r="U1">
            <v>44092</v>
          </cell>
          <cell r="V1">
            <v>44093</v>
          </cell>
          <cell r="W1">
            <v>44094</v>
          </cell>
          <cell r="X1">
            <v>44095</v>
          </cell>
          <cell r="Y1">
            <v>44096</v>
          </cell>
          <cell r="Z1">
            <v>44097</v>
          </cell>
          <cell r="AA1">
            <v>44098</v>
          </cell>
          <cell r="AB1">
            <v>44099</v>
          </cell>
          <cell r="AC1">
            <v>44100</v>
          </cell>
          <cell r="AD1">
            <v>44101</v>
          </cell>
          <cell r="AE1">
            <v>44102</v>
          </cell>
          <cell r="AF1">
            <v>44103</v>
          </cell>
          <cell r="AG1">
            <v>44104</v>
          </cell>
          <cell r="AH1" t="str">
            <v/>
          </cell>
        </row>
        <row r="2">
          <cell r="D2">
            <v>44075</v>
          </cell>
          <cell r="E2">
            <v>44076</v>
          </cell>
          <cell r="F2">
            <v>44077</v>
          </cell>
          <cell r="G2">
            <v>44078</v>
          </cell>
          <cell r="H2">
            <v>44079</v>
          </cell>
          <cell r="I2">
            <v>44080</v>
          </cell>
          <cell r="J2">
            <v>44081</v>
          </cell>
          <cell r="K2">
            <v>44082</v>
          </cell>
          <cell r="L2">
            <v>44083</v>
          </cell>
          <cell r="M2">
            <v>44084</v>
          </cell>
          <cell r="N2">
            <v>44085</v>
          </cell>
          <cell r="O2">
            <v>44086</v>
          </cell>
          <cell r="P2">
            <v>44087</v>
          </cell>
          <cell r="Q2">
            <v>44088</v>
          </cell>
          <cell r="R2">
            <v>44089</v>
          </cell>
          <cell r="S2">
            <v>44090</v>
          </cell>
          <cell r="T2">
            <v>44091</v>
          </cell>
          <cell r="U2">
            <v>44092</v>
          </cell>
          <cell r="V2">
            <v>44093</v>
          </cell>
          <cell r="W2">
            <v>44094</v>
          </cell>
          <cell r="X2">
            <v>44095</v>
          </cell>
          <cell r="Y2">
            <v>44096</v>
          </cell>
          <cell r="Z2">
            <v>44097</v>
          </cell>
          <cell r="AA2">
            <v>44098</v>
          </cell>
          <cell r="AB2">
            <v>44099</v>
          </cell>
          <cell r="AC2">
            <v>44100</v>
          </cell>
          <cell r="AD2">
            <v>44101</v>
          </cell>
          <cell r="AE2">
            <v>44102</v>
          </cell>
          <cell r="AF2">
            <v>44103</v>
          </cell>
          <cell r="AG2">
            <v>44104</v>
          </cell>
          <cell r="AH2" t="str">
            <v/>
          </cell>
        </row>
        <row r="3">
          <cell r="D3" t="str">
            <v>大畑</v>
          </cell>
          <cell r="E3" t="str">
            <v>山下</v>
          </cell>
          <cell r="F3" t="str">
            <v>平田恵</v>
          </cell>
          <cell r="G3" t="str">
            <v>澤野</v>
          </cell>
          <cell r="H3" t="str">
            <v>大畑</v>
          </cell>
          <cell r="I3" t="str">
            <v>宮崎</v>
          </cell>
          <cell r="J3" t="str">
            <v>山本</v>
          </cell>
          <cell r="K3" t="str">
            <v>澤野</v>
          </cell>
          <cell r="L3" t="str">
            <v>大橋</v>
          </cell>
          <cell r="M3" t="str">
            <v>山田</v>
          </cell>
          <cell r="N3" t="str">
            <v>山下</v>
          </cell>
          <cell r="O3" t="str">
            <v>大畑</v>
          </cell>
          <cell r="P3" t="str">
            <v>宮崎</v>
          </cell>
          <cell r="Q3" t="str">
            <v>南</v>
          </cell>
          <cell r="R3" t="str">
            <v>山村</v>
          </cell>
          <cell r="S3" t="str">
            <v>西郡</v>
          </cell>
          <cell r="T3" t="str">
            <v>長田</v>
          </cell>
          <cell r="U3" t="str">
            <v>清水</v>
          </cell>
          <cell r="V3" t="str">
            <v>大畑</v>
          </cell>
          <cell r="W3" t="str">
            <v>宮崎</v>
          </cell>
          <cell r="X3" t="str">
            <v>宮崎</v>
          </cell>
          <cell r="Y3" t="str">
            <v>宮崎</v>
          </cell>
          <cell r="Z3" t="str">
            <v>齊藤</v>
          </cell>
          <cell r="AA3" t="str">
            <v>佐藤恵</v>
          </cell>
          <cell r="AB3" t="str">
            <v>加藤</v>
          </cell>
          <cell r="AC3" t="str">
            <v>大畑</v>
          </cell>
          <cell r="AD3" t="str">
            <v>宮崎</v>
          </cell>
          <cell r="AE3" t="str">
            <v>吉田</v>
          </cell>
          <cell r="AF3" t="str">
            <v>庵</v>
          </cell>
          <cell r="AG3" t="str">
            <v>大橋</v>
          </cell>
          <cell r="AH3" t="str">
            <v/>
          </cell>
        </row>
        <row r="4">
          <cell r="D4" t="str">
            <v>谷口</v>
          </cell>
          <cell r="E4" t="str">
            <v>谷口</v>
          </cell>
          <cell r="F4" t="str">
            <v>龍野</v>
          </cell>
          <cell r="G4" t="str">
            <v>大畑</v>
          </cell>
          <cell r="H4" t="str">
            <v>谷口</v>
          </cell>
          <cell r="I4" t="str">
            <v>奥</v>
          </cell>
          <cell r="J4" t="str">
            <v>阪井田</v>
          </cell>
          <cell r="K4" t="str">
            <v>大畑</v>
          </cell>
          <cell r="L4" t="str">
            <v>谷口</v>
          </cell>
          <cell r="M4" t="str">
            <v>本田</v>
          </cell>
          <cell r="N4" t="str">
            <v>山田</v>
          </cell>
          <cell r="O4" t="str">
            <v>谷口</v>
          </cell>
          <cell r="P4" t="str">
            <v>奥</v>
          </cell>
          <cell r="Q4" t="str">
            <v>田村</v>
          </cell>
          <cell r="R4" t="str">
            <v>清水</v>
          </cell>
          <cell r="S4" t="str">
            <v>大畑</v>
          </cell>
          <cell r="T4" t="str">
            <v>田村</v>
          </cell>
          <cell r="U4" t="str">
            <v>大畑</v>
          </cell>
          <cell r="V4" t="str">
            <v>谷口</v>
          </cell>
          <cell r="W4" t="str">
            <v>奥</v>
          </cell>
          <cell r="X4" t="str">
            <v>奥</v>
          </cell>
          <cell r="Y4" t="str">
            <v>奥</v>
          </cell>
          <cell r="Z4" t="str">
            <v>庵</v>
          </cell>
          <cell r="AA4" t="str">
            <v>大畑</v>
          </cell>
          <cell r="AB4" t="str">
            <v>大畑</v>
          </cell>
          <cell r="AC4" t="str">
            <v>谷口</v>
          </cell>
          <cell r="AD4" t="str">
            <v>奥</v>
          </cell>
          <cell r="AE4" t="str">
            <v>西郡</v>
          </cell>
          <cell r="AF4" t="str">
            <v>西郡</v>
          </cell>
          <cell r="AG4" t="str">
            <v>田村</v>
          </cell>
          <cell r="AH4" t="str">
            <v/>
          </cell>
        </row>
        <row r="5">
          <cell r="D5" t="str">
            <v/>
          </cell>
          <cell r="E5" t="str">
            <v>阪井田</v>
          </cell>
          <cell r="F5" t="str">
            <v>大畑</v>
          </cell>
          <cell r="G5" t="str">
            <v>谷口</v>
          </cell>
          <cell r="H5" t="str">
            <v>阪井田</v>
          </cell>
          <cell r="I5" t="str">
            <v>山下</v>
          </cell>
          <cell r="J5" t="str">
            <v/>
          </cell>
          <cell r="K5" t="str">
            <v>谷口</v>
          </cell>
          <cell r="L5" t="str">
            <v>阪井田</v>
          </cell>
          <cell r="M5" t="str">
            <v>大畑</v>
          </cell>
          <cell r="N5" t="str">
            <v>田村</v>
          </cell>
          <cell r="O5" t="str">
            <v>阪井田</v>
          </cell>
          <cell r="P5" t="str">
            <v>殿田</v>
          </cell>
          <cell r="Q5" t="str">
            <v>龍野</v>
          </cell>
          <cell r="R5" t="str">
            <v>龍野</v>
          </cell>
          <cell r="S5" t="str">
            <v>阪井田</v>
          </cell>
          <cell r="T5" t="str">
            <v>加藤</v>
          </cell>
          <cell r="U5" t="str">
            <v>谷口</v>
          </cell>
          <cell r="V5" t="str">
            <v>阪井田</v>
          </cell>
          <cell r="W5" t="str">
            <v>山下</v>
          </cell>
          <cell r="X5" t="str">
            <v>山下</v>
          </cell>
          <cell r="Y5" t="str">
            <v>山村</v>
          </cell>
          <cell r="Z5" t="str">
            <v>大畑</v>
          </cell>
          <cell r="AA5" t="str">
            <v>谷口</v>
          </cell>
          <cell r="AB5" t="str">
            <v/>
          </cell>
          <cell r="AC5" t="str">
            <v>阪井田</v>
          </cell>
          <cell r="AD5" t="str">
            <v>山下</v>
          </cell>
          <cell r="AE5" t="str">
            <v>大畑</v>
          </cell>
          <cell r="AF5" t="str">
            <v>大畑</v>
          </cell>
          <cell r="AG5" t="str">
            <v>庵</v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>谷口</v>
          </cell>
          <cell r="G6" t="str">
            <v>諸田</v>
          </cell>
          <cell r="H6" t="str">
            <v>木田</v>
          </cell>
          <cell r="I6" t="str">
            <v>山村</v>
          </cell>
          <cell r="J6" t="str">
            <v/>
          </cell>
          <cell r="K6" t="str">
            <v>松木</v>
          </cell>
          <cell r="L6" t="str">
            <v/>
          </cell>
          <cell r="M6" t="str">
            <v>谷口</v>
          </cell>
          <cell r="N6" t="str">
            <v>大畑</v>
          </cell>
          <cell r="O6" t="str">
            <v>木田</v>
          </cell>
          <cell r="P6" t="str">
            <v>森本</v>
          </cell>
          <cell r="Q6" t="str">
            <v>阪井田</v>
          </cell>
          <cell r="R6" t="str">
            <v>大畑</v>
          </cell>
          <cell r="S6" t="str">
            <v/>
          </cell>
          <cell r="T6" t="str">
            <v>大畑</v>
          </cell>
          <cell r="U6" t="str">
            <v/>
          </cell>
          <cell r="V6" t="str">
            <v>木田</v>
          </cell>
          <cell r="W6" t="str">
            <v>山村</v>
          </cell>
          <cell r="X6" t="str">
            <v>山村</v>
          </cell>
          <cell r="Y6" t="str">
            <v>殿田</v>
          </cell>
          <cell r="Z6" t="str">
            <v>谷口</v>
          </cell>
          <cell r="AA6" t="str">
            <v>阪井田</v>
          </cell>
          <cell r="AB6" t="str">
            <v/>
          </cell>
          <cell r="AC6" t="str">
            <v>木田</v>
          </cell>
          <cell r="AD6" t="str">
            <v>山村</v>
          </cell>
          <cell r="AE6" t="str">
            <v>阪井田</v>
          </cell>
          <cell r="AF6" t="str">
            <v>谷口</v>
          </cell>
          <cell r="AG6" t="str">
            <v>大畑</v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>阪井田</v>
          </cell>
          <cell r="G7" t="str">
            <v/>
          </cell>
          <cell r="H7" t="str">
            <v/>
          </cell>
          <cell r="I7" t="str">
            <v>殿田</v>
          </cell>
          <cell r="J7" t="str">
            <v/>
          </cell>
          <cell r="K7" t="str">
            <v/>
          </cell>
          <cell r="L7" t="str">
            <v/>
          </cell>
          <cell r="M7" t="str">
            <v>阪井田</v>
          </cell>
          <cell r="N7" t="str">
            <v/>
          </cell>
          <cell r="O7" t="str">
            <v/>
          </cell>
          <cell r="P7" t="str">
            <v>中井</v>
          </cell>
          <cell r="Q7" t="str">
            <v/>
          </cell>
          <cell r="R7" t="str">
            <v>谷口</v>
          </cell>
          <cell r="S7" t="str">
            <v/>
          </cell>
          <cell r="T7" t="str">
            <v>谷口</v>
          </cell>
          <cell r="U7" t="str">
            <v/>
          </cell>
          <cell r="V7" t="str">
            <v/>
          </cell>
          <cell r="W7" t="str">
            <v>殿田</v>
          </cell>
          <cell r="X7" t="str">
            <v>殿田</v>
          </cell>
          <cell r="Y7" t="str">
            <v>森本</v>
          </cell>
          <cell r="Z7" t="str">
            <v>阪井田</v>
          </cell>
          <cell r="AA7" t="str">
            <v>松木</v>
          </cell>
          <cell r="AB7" t="str">
            <v/>
          </cell>
          <cell r="AC7" t="str">
            <v/>
          </cell>
          <cell r="AD7" t="str">
            <v>殿田</v>
          </cell>
          <cell r="AE7" t="str">
            <v/>
          </cell>
          <cell r="AF7" t="str">
            <v/>
          </cell>
          <cell r="AG7" t="str">
            <v>谷口</v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>森本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>北</v>
          </cell>
          <cell r="Q8" t="str">
            <v/>
          </cell>
          <cell r="R8" t="str">
            <v/>
          </cell>
          <cell r="S8" t="str">
            <v/>
          </cell>
          <cell r="T8" t="str">
            <v>阪井田</v>
          </cell>
          <cell r="U8" t="str">
            <v/>
          </cell>
          <cell r="V8" t="str">
            <v/>
          </cell>
          <cell r="W8" t="str">
            <v>森本</v>
          </cell>
          <cell r="X8" t="str">
            <v>森本</v>
          </cell>
          <cell r="Y8" t="str">
            <v>中井</v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>森本</v>
          </cell>
          <cell r="AE8" t="str">
            <v/>
          </cell>
          <cell r="AF8" t="str">
            <v/>
          </cell>
          <cell r="AG8" t="str">
            <v>阪井田</v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>中井</v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>中村</v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>中井</v>
          </cell>
          <cell r="X9" t="str">
            <v>中井</v>
          </cell>
          <cell r="Y9" t="str">
            <v>北</v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>中井</v>
          </cell>
          <cell r="AE9" t="str">
            <v/>
          </cell>
          <cell r="AF9" t="str">
            <v/>
          </cell>
          <cell r="AG9" t="str">
            <v>諸田</v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>北</v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>平田真</v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>北</v>
          </cell>
          <cell r="X10" t="str">
            <v>北</v>
          </cell>
          <cell r="Y10" t="str">
            <v>中村</v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>北</v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44105</v>
          </cell>
          <cell r="E1">
            <v>44106</v>
          </cell>
          <cell r="F1">
            <v>44107</v>
          </cell>
          <cell r="G1">
            <v>44108</v>
          </cell>
          <cell r="H1">
            <v>44109</v>
          </cell>
          <cell r="I1">
            <v>44110</v>
          </cell>
          <cell r="J1">
            <v>44111</v>
          </cell>
          <cell r="K1">
            <v>44112</v>
          </cell>
          <cell r="L1">
            <v>44113</v>
          </cell>
          <cell r="M1">
            <v>44114</v>
          </cell>
          <cell r="N1">
            <v>44115</v>
          </cell>
          <cell r="O1">
            <v>44116</v>
          </cell>
          <cell r="P1">
            <v>44117</v>
          </cell>
          <cell r="Q1">
            <v>44118</v>
          </cell>
          <cell r="R1">
            <v>44119</v>
          </cell>
          <cell r="S1">
            <v>44120</v>
          </cell>
          <cell r="T1">
            <v>44121</v>
          </cell>
          <cell r="U1">
            <v>44122</v>
          </cell>
          <cell r="V1">
            <v>44123</v>
          </cell>
          <cell r="W1">
            <v>44124</v>
          </cell>
          <cell r="X1">
            <v>44125</v>
          </cell>
          <cell r="Y1">
            <v>44126</v>
          </cell>
          <cell r="Z1">
            <v>44127</v>
          </cell>
          <cell r="AA1">
            <v>44128</v>
          </cell>
          <cell r="AB1">
            <v>44129</v>
          </cell>
          <cell r="AC1">
            <v>44130</v>
          </cell>
          <cell r="AD1">
            <v>44131</v>
          </cell>
          <cell r="AE1">
            <v>44132</v>
          </cell>
          <cell r="AF1">
            <v>44133</v>
          </cell>
          <cell r="AG1">
            <v>44134</v>
          </cell>
          <cell r="AH1">
            <v>44135</v>
          </cell>
        </row>
        <row r="2">
          <cell r="D2">
            <v>44105</v>
          </cell>
          <cell r="E2">
            <v>44106</v>
          </cell>
          <cell r="F2">
            <v>44107</v>
          </cell>
          <cell r="G2">
            <v>44108</v>
          </cell>
          <cell r="H2">
            <v>44109</v>
          </cell>
          <cell r="I2">
            <v>44110</v>
          </cell>
          <cell r="J2">
            <v>44111</v>
          </cell>
          <cell r="K2">
            <v>44112</v>
          </cell>
          <cell r="L2">
            <v>44113</v>
          </cell>
          <cell r="M2">
            <v>44114</v>
          </cell>
          <cell r="N2">
            <v>44115</v>
          </cell>
          <cell r="O2">
            <v>44116</v>
          </cell>
          <cell r="P2">
            <v>44117</v>
          </cell>
          <cell r="Q2">
            <v>44118</v>
          </cell>
          <cell r="R2">
            <v>44119</v>
          </cell>
          <cell r="S2">
            <v>44120</v>
          </cell>
          <cell r="T2">
            <v>44121</v>
          </cell>
          <cell r="U2">
            <v>44122</v>
          </cell>
          <cell r="V2">
            <v>44123</v>
          </cell>
          <cell r="W2">
            <v>44124</v>
          </cell>
          <cell r="X2">
            <v>44125</v>
          </cell>
          <cell r="Y2">
            <v>44126</v>
          </cell>
          <cell r="Z2">
            <v>44127</v>
          </cell>
          <cell r="AA2">
            <v>44128</v>
          </cell>
          <cell r="AB2">
            <v>44129</v>
          </cell>
          <cell r="AC2">
            <v>44130</v>
          </cell>
          <cell r="AD2">
            <v>44131</v>
          </cell>
          <cell r="AE2">
            <v>44132</v>
          </cell>
          <cell r="AF2">
            <v>44133</v>
          </cell>
          <cell r="AG2">
            <v>44134</v>
          </cell>
          <cell r="AH2">
            <v>44135</v>
          </cell>
        </row>
        <row r="3">
          <cell r="D3" t="str">
            <v>加藤</v>
          </cell>
          <cell r="E3" t="str">
            <v>山下</v>
          </cell>
          <cell r="F3" t="str">
            <v>山本</v>
          </cell>
          <cell r="G3" t="str">
            <v>中村</v>
          </cell>
          <cell r="H3" t="str">
            <v>加藤</v>
          </cell>
          <cell r="I3" t="str">
            <v>長田</v>
          </cell>
          <cell r="J3" t="str">
            <v>山村</v>
          </cell>
          <cell r="K3" t="str">
            <v>澤野</v>
          </cell>
          <cell r="L3" t="str">
            <v>龍野</v>
          </cell>
          <cell r="M3" t="str">
            <v>清水</v>
          </cell>
          <cell r="N3" t="str">
            <v>田村</v>
          </cell>
          <cell r="O3" t="str">
            <v>大橋</v>
          </cell>
          <cell r="P3" t="str">
            <v>平田恵</v>
          </cell>
          <cell r="Q3" t="str">
            <v>山村</v>
          </cell>
          <cell r="R3" t="str">
            <v>中村</v>
          </cell>
          <cell r="S3" t="str">
            <v>山本</v>
          </cell>
          <cell r="T3" t="str">
            <v>田村</v>
          </cell>
          <cell r="U3" t="str">
            <v>北</v>
          </cell>
          <cell r="V3" t="str">
            <v>南</v>
          </cell>
          <cell r="W3" t="str">
            <v>中井</v>
          </cell>
          <cell r="X3" t="str">
            <v>澤野</v>
          </cell>
          <cell r="Y3" t="str">
            <v>齊藤</v>
          </cell>
          <cell r="Z3" t="str">
            <v>加藤</v>
          </cell>
          <cell r="AA3" t="str">
            <v>山村</v>
          </cell>
          <cell r="AB3" t="str">
            <v>南</v>
          </cell>
          <cell r="AC3" t="str">
            <v>山田</v>
          </cell>
          <cell r="AD3" t="str">
            <v>平田恵</v>
          </cell>
          <cell r="AE3" t="str">
            <v>田村</v>
          </cell>
          <cell r="AF3" t="str">
            <v>山下</v>
          </cell>
          <cell r="AG3" t="str">
            <v>大橋</v>
          </cell>
          <cell r="AH3" t="str">
            <v>佐藤穂</v>
          </cell>
        </row>
        <row r="4">
          <cell r="D4" t="str">
            <v>龍野</v>
          </cell>
          <cell r="E4" t="str">
            <v>清水</v>
          </cell>
          <cell r="F4" t="str">
            <v>西郡</v>
          </cell>
          <cell r="G4" t="str">
            <v>大橋</v>
          </cell>
          <cell r="H4" t="str">
            <v>本田</v>
          </cell>
          <cell r="I4" t="str">
            <v>庵</v>
          </cell>
          <cell r="J4" t="str">
            <v>田村</v>
          </cell>
          <cell r="K4" t="str">
            <v>齊藤</v>
          </cell>
          <cell r="L4" t="str">
            <v>諸田</v>
          </cell>
          <cell r="M4" t="str">
            <v>庵</v>
          </cell>
          <cell r="N4" t="str">
            <v>佐藤穂</v>
          </cell>
          <cell r="O4" t="str">
            <v>山田</v>
          </cell>
          <cell r="P4" t="str">
            <v>松木</v>
          </cell>
          <cell r="Q4" t="str">
            <v>南</v>
          </cell>
          <cell r="R4" t="str">
            <v>佐藤恵</v>
          </cell>
          <cell r="S4" t="str">
            <v>長田</v>
          </cell>
          <cell r="T4" t="str">
            <v>本田</v>
          </cell>
          <cell r="U4" t="str">
            <v>大橋</v>
          </cell>
          <cell r="V4" t="str">
            <v>西郡</v>
          </cell>
          <cell r="W4" t="str">
            <v>中村</v>
          </cell>
          <cell r="X4" t="str">
            <v>龍野</v>
          </cell>
          <cell r="Y4" t="str">
            <v>諸田</v>
          </cell>
          <cell r="Z4" t="str">
            <v>本田</v>
          </cell>
          <cell r="AA4" t="str">
            <v>清水</v>
          </cell>
          <cell r="AB4" t="str">
            <v>西郡</v>
          </cell>
          <cell r="AC4" t="str">
            <v>長田</v>
          </cell>
          <cell r="AD4" t="str">
            <v>松木</v>
          </cell>
          <cell r="AE4" t="str">
            <v>薬司</v>
          </cell>
          <cell r="AF4" t="str">
            <v>加藤</v>
          </cell>
          <cell r="AG4" t="str">
            <v>佐藤恵</v>
          </cell>
          <cell r="AH4" t="str">
            <v>松木</v>
          </cell>
        </row>
      </sheetData>
      <sheetData sheetId="9">
        <row r="1">
          <cell r="D1">
            <v>44105</v>
          </cell>
          <cell r="E1">
            <v>44106</v>
          </cell>
          <cell r="F1">
            <v>44107</v>
          </cell>
          <cell r="G1">
            <v>44108</v>
          </cell>
          <cell r="H1">
            <v>44109</v>
          </cell>
          <cell r="I1">
            <v>44110</v>
          </cell>
          <cell r="J1">
            <v>44111</v>
          </cell>
          <cell r="K1">
            <v>44112</v>
          </cell>
          <cell r="L1">
            <v>44113</v>
          </cell>
          <cell r="M1">
            <v>44114</v>
          </cell>
          <cell r="N1">
            <v>44115</v>
          </cell>
          <cell r="O1">
            <v>44116</v>
          </cell>
          <cell r="P1">
            <v>44117</v>
          </cell>
          <cell r="Q1">
            <v>44118</v>
          </cell>
          <cell r="R1">
            <v>44119</v>
          </cell>
          <cell r="S1">
            <v>44120</v>
          </cell>
          <cell r="T1">
            <v>44121</v>
          </cell>
          <cell r="U1">
            <v>44122</v>
          </cell>
          <cell r="V1">
            <v>44123</v>
          </cell>
          <cell r="W1">
            <v>44124</v>
          </cell>
          <cell r="X1">
            <v>44125</v>
          </cell>
          <cell r="Y1">
            <v>44126</v>
          </cell>
          <cell r="Z1">
            <v>44127</v>
          </cell>
          <cell r="AA1">
            <v>44128</v>
          </cell>
          <cell r="AB1">
            <v>44129</v>
          </cell>
          <cell r="AC1">
            <v>44130</v>
          </cell>
          <cell r="AD1">
            <v>44131</v>
          </cell>
          <cell r="AE1">
            <v>44132</v>
          </cell>
          <cell r="AF1">
            <v>44133</v>
          </cell>
          <cell r="AG1">
            <v>44134</v>
          </cell>
          <cell r="AH1">
            <v>44135</v>
          </cell>
        </row>
        <row r="2">
          <cell r="D2">
            <v>44105</v>
          </cell>
          <cell r="E2">
            <v>44106</v>
          </cell>
          <cell r="F2">
            <v>44107</v>
          </cell>
          <cell r="G2">
            <v>44108</v>
          </cell>
          <cell r="H2">
            <v>44109</v>
          </cell>
          <cell r="I2">
            <v>44110</v>
          </cell>
          <cell r="J2">
            <v>44111</v>
          </cell>
          <cell r="K2">
            <v>44112</v>
          </cell>
          <cell r="L2">
            <v>44113</v>
          </cell>
          <cell r="M2">
            <v>44114</v>
          </cell>
          <cell r="N2">
            <v>44115</v>
          </cell>
          <cell r="O2">
            <v>44116</v>
          </cell>
          <cell r="P2">
            <v>44117</v>
          </cell>
          <cell r="Q2">
            <v>44118</v>
          </cell>
          <cell r="R2">
            <v>44119</v>
          </cell>
          <cell r="S2">
            <v>44120</v>
          </cell>
          <cell r="T2">
            <v>44121</v>
          </cell>
          <cell r="U2">
            <v>44122</v>
          </cell>
          <cell r="V2">
            <v>44123</v>
          </cell>
          <cell r="W2">
            <v>44124</v>
          </cell>
          <cell r="X2">
            <v>44125</v>
          </cell>
          <cell r="Y2">
            <v>44126</v>
          </cell>
          <cell r="Z2">
            <v>44127</v>
          </cell>
          <cell r="AA2">
            <v>44128</v>
          </cell>
          <cell r="AB2">
            <v>44129</v>
          </cell>
          <cell r="AC2">
            <v>44130</v>
          </cell>
          <cell r="AD2">
            <v>44131</v>
          </cell>
          <cell r="AE2">
            <v>44132</v>
          </cell>
          <cell r="AF2">
            <v>44133</v>
          </cell>
          <cell r="AG2">
            <v>44134</v>
          </cell>
          <cell r="AH2">
            <v>44135</v>
          </cell>
        </row>
        <row r="3">
          <cell r="D3" t="str">
            <v>大畑</v>
          </cell>
          <cell r="E3" t="str">
            <v>大畑</v>
          </cell>
          <cell r="F3" t="str">
            <v>大畑</v>
          </cell>
          <cell r="G3" t="str">
            <v>宮崎</v>
          </cell>
          <cell r="H3" t="str">
            <v>佐藤恵</v>
          </cell>
          <cell r="I3" t="str">
            <v>大橋</v>
          </cell>
          <cell r="J3" t="str">
            <v>本田</v>
          </cell>
          <cell r="K3" t="str">
            <v>中村</v>
          </cell>
          <cell r="L3" t="str">
            <v>大橋</v>
          </cell>
          <cell r="M3" t="str">
            <v>大畑</v>
          </cell>
          <cell r="N3" t="str">
            <v>宮崎</v>
          </cell>
          <cell r="O3" t="str">
            <v>吉田</v>
          </cell>
          <cell r="P3" t="str">
            <v>山田</v>
          </cell>
          <cell r="Q3" t="str">
            <v>清水</v>
          </cell>
          <cell r="R3" t="str">
            <v>山田</v>
          </cell>
          <cell r="S3" t="str">
            <v>加藤</v>
          </cell>
          <cell r="T3" t="str">
            <v>大畑</v>
          </cell>
          <cell r="U3" t="str">
            <v>宮崎</v>
          </cell>
          <cell r="V3" t="str">
            <v>阪井田</v>
          </cell>
          <cell r="W3" t="str">
            <v>田村</v>
          </cell>
          <cell r="X3" t="str">
            <v>北</v>
          </cell>
          <cell r="Y3" t="str">
            <v>大橋</v>
          </cell>
          <cell r="Z3" t="str">
            <v>西郡</v>
          </cell>
          <cell r="AA3" t="str">
            <v>大畑</v>
          </cell>
          <cell r="AB3" t="str">
            <v>宮崎</v>
          </cell>
          <cell r="AC3" t="str">
            <v>齊藤</v>
          </cell>
          <cell r="AD3" t="str">
            <v>山村</v>
          </cell>
          <cell r="AE3" t="str">
            <v>南</v>
          </cell>
          <cell r="AF3" t="str">
            <v>中村</v>
          </cell>
          <cell r="AG3" t="str">
            <v>庵</v>
          </cell>
          <cell r="AH3" t="str">
            <v>大畑</v>
          </cell>
        </row>
        <row r="4">
          <cell r="D4" t="str">
            <v>谷口</v>
          </cell>
          <cell r="E4" t="str">
            <v>阪井田</v>
          </cell>
          <cell r="F4" t="str">
            <v>谷口</v>
          </cell>
          <cell r="G4" t="str">
            <v>奥</v>
          </cell>
          <cell r="H4" t="str">
            <v>阪井田</v>
          </cell>
          <cell r="I4" t="str">
            <v>山本</v>
          </cell>
          <cell r="J4" t="str">
            <v>谷口</v>
          </cell>
          <cell r="K4" t="str">
            <v>大畑</v>
          </cell>
          <cell r="L4" t="str">
            <v>大畑</v>
          </cell>
          <cell r="M4" t="str">
            <v>谷口</v>
          </cell>
          <cell r="N4" t="str">
            <v>奥</v>
          </cell>
          <cell r="O4" t="str">
            <v>阪井田</v>
          </cell>
          <cell r="P4" t="str">
            <v>本田</v>
          </cell>
          <cell r="Q4" t="str">
            <v>佐藤穂</v>
          </cell>
          <cell r="R4" t="str">
            <v>田村</v>
          </cell>
          <cell r="S4" t="str">
            <v>大畑</v>
          </cell>
          <cell r="T4" t="str">
            <v>谷口</v>
          </cell>
          <cell r="U4" t="str">
            <v>奥</v>
          </cell>
          <cell r="V4" t="str">
            <v/>
          </cell>
          <cell r="W4" t="str">
            <v>庵</v>
          </cell>
          <cell r="X4" t="str">
            <v>南</v>
          </cell>
          <cell r="Y4" t="str">
            <v>庵</v>
          </cell>
          <cell r="Z4" t="str">
            <v>大畑</v>
          </cell>
          <cell r="AA4" t="str">
            <v>谷口</v>
          </cell>
          <cell r="AB4" t="str">
            <v>奥</v>
          </cell>
          <cell r="AC4" t="str">
            <v>阪井田</v>
          </cell>
          <cell r="AD4" t="str">
            <v>清水</v>
          </cell>
          <cell r="AE4" t="str">
            <v>大畑</v>
          </cell>
          <cell r="AF4" t="str">
            <v>大畑</v>
          </cell>
          <cell r="AG4" t="str">
            <v>西郡</v>
          </cell>
          <cell r="AH4" t="str">
            <v>谷口</v>
          </cell>
        </row>
        <row r="5">
          <cell r="D5" t="str">
            <v>阪井田</v>
          </cell>
          <cell r="E5" t="str">
            <v/>
          </cell>
          <cell r="F5" t="str">
            <v>阪井田</v>
          </cell>
          <cell r="G5" t="str">
            <v>山下</v>
          </cell>
          <cell r="H5" t="str">
            <v/>
          </cell>
          <cell r="I5" t="str">
            <v>大畑</v>
          </cell>
          <cell r="J5" t="str">
            <v>阪井田</v>
          </cell>
          <cell r="K5" t="str">
            <v>谷口</v>
          </cell>
          <cell r="L5" t="str">
            <v>阪井田</v>
          </cell>
          <cell r="M5" t="str">
            <v>阪井田</v>
          </cell>
          <cell r="N5" t="str">
            <v>山下</v>
          </cell>
          <cell r="O5" t="str">
            <v/>
          </cell>
          <cell r="P5" t="str">
            <v>大畑</v>
          </cell>
          <cell r="Q5" t="str">
            <v>谷口</v>
          </cell>
          <cell r="R5" t="str">
            <v>西郡</v>
          </cell>
          <cell r="S5" t="str">
            <v>阪井田</v>
          </cell>
          <cell r="T5" t="str">
            <v>阪井田</v>
          </cell>
          <cell r="U5" t="str">
            <v>山下</v>
          </cell>
          <cell r="V5" t="str">
            <v/>
          </cell>
          <cell r="W5" t="str">
            <v>佐藤穂</v>
          </cell>
          <cell r="X5" t="str">
            <v>谷口</v>
          </cell>
          <cell r="Y5" t="str">
            <v>大畑</v>
          </cell>
          <cell r="Z5" t="str">
            <v>谷口</v>
          </cell>
          <cell r="AA5" t="str">
            <v>阪井田</v>
          </cell>
          <cell r="AB5" t="str">
            <v>山下</v>
          </cell>
          <cell r="AC5" t="str">
            <v/>
          </cell>
          <cell r="AD5" t="str">
            <v>長田</v>
          </cell>
          <cell r="AE5" t="str">
            <v>谷口</v>
          </cell>
          <cell r="AF5" t="str">
            <v>谷口</v>
          </cell>
          <cell r="AG5" t="str">
            <v>大畑</v>
          </cell>
          <cell r="AH5" t="str">
            <v>阪井田</v>
          </cell>
        </row>
        <row r="6">
          <cell r="D6" t="str">
            <v>松木</v>
          </cell>
          <cell r="E6" t="str">
            <v/>
          </cell>
          <cell r="F6" t="str">
            <v>木田</v>
          </cell>
          <cell r="G6" t="str">
            <v>山村</v>
          </cell>
          <cell r="H6" t="str">
            <v/>
          </cell>
          <cell r="I6" t="str">
            <v>谷口</v>
          </cell>
          <cell r="J6" t="str">
            <v/>
          </cell>
          <cell r="K6" t="str">
            <v>阪井田</v>
          </cell>
          <cell r="L6" t="str">
            <v/>
          </cell>
          <cell r="M6" t="str">
            <v>木田</v>
          </cell>
          <cell r="N6" t="str">
            <v>山村</v>
          </cell>
          <cell r="O6" t="str">
            <v/>
          </cell>
          <cell r="P6" t="str">
            <v>谷口</v>
          </cell>
          <cell r="Q6" t="str">
            <v>阪井田</v>
          </cell>
          <cell r="R6" t="str">
            <v>大畑</v>
          </cell>
          <cell r="S6" t="str">
            <v/>
          </cell>
          <cell r="T6" t="str">
            <v>木田</v>
          </cell>
          <cell r="U6" t="str">
            <v>山村</v>
          </cell>
          <cell r="V6" t="str">
            <v/>
          </cell>
          <cell r="W6" t="str">
            <v>大畑</v>
          </cell>
          <cell r="X6" t="str">
            <v>阪井田</v>
          </cell>
          <cell r="Y6" t="str">
            <v>谷口</v>
          </cell>
          <cell r="Z6" t="str">
            <v>阪井田</v>
          </cell>
          <cell r="AA6" t="str">
            <v>木田</v>
          </cell>
          <cell r="AB6" t="str">
            <v>山村</v>
          </cell>
          <cell r="AC6" t="str">
            <v/>
          </cell>
          <cell r="AD6" t="str">
            <v>大畑</v>
          </cell>
          <cell r="AE6" t="str">
            <v>阪井田</v>
          </cell>
          <cell r="AF6" t="str">
            <v>阪井田</v>
          </cell>
          <cell r="AG6" t="str">
            <v>谷口</v>
          </cell>
          <cell r="AH6" t="str">
            <v>木田</v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>殿田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>殿田</v>
          </cell>
          <cell r="O7" t="str">
            <v/>
          </cell>
          <cell r="P7" t="str">
            <v/>
          </cell>
          <cell r="Q7" t="str">
            <v/>
          </cell>
          <cell r="R7" t="str">
            <v>谷口</v>
          </cell>
          <cell r="S7" t="str">
            <v/>
          </cell>
          <cell r="T7" t="str">
            <v/>
          </cell>
          <cell r="U7" t="str">
            <v>殿田</v>
          </cell>
          <cell r="V7" t="str">
            <v/>
          </cell>
          <cell r="W7" t="str">
            <v>谷口</v>
          </cell>
          <cell r="X7" t="str">
            <v/>
          </cell>
          <cell r="Y7" t="str">
            <v>阪井田</v>
          </cell>
          <cell r="Z7" t="str">
            <v/>
          </cell>
          <cell r="AA7" t="str">
            <v/>
          </cell>
          <cell r="AB7" t="str">
            <v>殿田</v>
          </cell>
          <cell r="AC7" t="str">
            <v/>
          </cell>
          <cell r="AD7" t="str">
            <v>谷口</v>
          </cell>
          <cell r="AE7" t="str">
            <v/>
          </cell>
          <cell r="AF7" t="str">
            <v/>
          </cell>
          <cell r="AG7" t="str">
            <v>阪井田</v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>森本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>森本</v>
          </cell>
          <cell r="O8" t="str">
            <v/>
          </cell>
          <cell r="P8" t="str">
            <v/>
          </cell>
          <cell r="Q8" t="str">
            <v/>
          </cell>
          <cell r="R8" t="str">
            <v>阪井田</v>
          </cell>
          <cell r="S8" t="str">
            <v/>
          </cell>
          <cell r="T8" t="str">
            <v/>
          </cell>
          <cell r="U8" t="str">
            <v>森本</v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>森本</v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>中井</v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>中井</v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>中井</v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>中井</v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>北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>北</v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>中村</v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>北</v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44136</v>
          </cell>
          <cell r="E1">
            <v>44137</v>
          </cell>
          <cell r="F1">
            <v>44138</v>
          </cell>
          <cell r="G1">
            <v>44139</v>
          </cell>
          <cell r="H1">
            <v>44140</v>
          </cell>
          <cell r="I1">
            <v>44141</v>
          </cell>
          <cell r="J1">
            <v>44142</v>
          </cell>
          <cell r="K1">
            <v>44143</v>
          </cell>
          <cell r="L1">
            <v>44144</v>
          </cell>
          <cell r="M1">
            <v>44145</v>
          </cell>
          <cell r="N1">
            <v>44146</v>
          </cell>
          <cell r="O1">
            <v>44147</v>
          </cell>
          <cell r="P1">
            <v>44148</v>
          </cell>
          <cell r="Q1">
            <v>44149</v>
          </cell>
          <cell r="R1">
            <v>44150</v>
          </cell>
          <cell r="S1">
            <v>44151</v>
          </cell>
          <cell r="T1">
            <v>44152</v>
          </cell>
          <cell r="U1">
            <v>44153</v>
          </cell>
          <cell r="V1">
            <v>44154</v>
          </cell>
          <cell r="W1">
            <v>44155</v>
          </cell>
          <cell r="X1">
            <v>44156</v>
          </cell>
          <cell r="Y1">
            <v>44157</v>
          </cell>
          <cell r="Z1">
            <v>44158</v>
          </cell>
          <cell r="AA1">
            <v>44159</v>
          </cell>
          <cell r="AB1">
            <v>44160</v>
          </cell>
          <cell r="AC1">
            <v>44161</v>
          </cell>
          <cell r="AD1">
            <v>44162</v>
          </cell>
          <cell r="AE1">
            <v>44163</v>
          </cell>
          <cell r="AF1">
            <v>44164</v>
          </cell>
          <cell r="AG1">
            <v>44165</v>
          </cell>
          <cell r="AH1" t="str">
            <v/>
          </cell>
        </row>
        <row r="2">
          <cell r="D2">
            <v>44136</v>
          </cell>
          <cell r="E2">
            <v>44137</v>
          </cell>
          <cell r="F2">
            <v>44138</v>
          </cell>
          <cell r="G2">
            <v>44139</v>
          </cell>
          <cell r="H2">
            <v>44140</v>
          </cell>
          <cell r="I2">
            <v>44141</v>
          </cell>
          <cell r="J2">
            <v>44142</v>
          </cell>
          <cell r="K2">
            <v>44143</v>
          </cell>
          <cell r="L2">
            <v>44144</v>
          </cell>
          <cell r="M2">
            <v>44145</v>
          </cell>
          <cell r="N2">
            <v>44146</v>
          </cell>
          <cell r="O2">
            <v>44147</v>
          </cell>
          <cell r="P2">
            <v>44148</v>
          </cell>
          <cell r="Q2">
            <v>44149</v>
          </cell>
          <cell r="R2">
            <v>44150</v>
          </cell>
          <cell r="S2">
            <v>44151</v>
          </cell>
          <cell r="T2">
            <v>44152</v>
          </cell>
          <cell r="U2">
            <v>44153</v>
          </cell>
          <cell r="V2">
            <v>44154</v>
          </cell>
          <cell r="W2">
            <v>44155</v>
          </cell>
          <cell r="X2">
            <v>44156</v>
          </cell>
          <cell r="Y2">
            <v>44157</v>
          </cell>
          <cell r="Z2">
            <v>44158</v>
          </cell>
          <cell r="AA2">
            <v>44159</v>
          </cell>
          <cell r="AB2">
            <v>44160</v>
          </cell>
          <cell r="AC2">
            <v>44161</v>
          </cell>
          <cell r="AD2">
            <v>44162</v>
          </cell>
          <cell r="AE2">
            <v>44163</v>
          </cell>
          <cell r="AF2">
            <v>44164</v>
          </cell>
          <cell r="AG2">
            <v>44165</v>
          </cell>
          <cell r="AH2" t="str">
            <v/>
          </cell>
        </row>
        <row r="3">
          <cell r="D3" t="str">
            <v>中村</v>
          </cell>
          <cell r="E3" t="str">
            <v>加藤</v>
          </cell>
          <cell r="F3" t="str">
            <v>大橋</v>
          </cell>
          <cell r="G3" t="str">
            <v>長田</v>
          </cell>
          <cell r="H3" t="str">
            <v>山村</v>
          </cell>
          <cell r="I3" t="str">
            <v>山田</v>
          </cell>
          <cell r="J3" t="str">
            <v>中村</v>
          </cell>
          <cell r="K3" t="str">
            <v>田村</v>
          </cell>
          <cell r="L3" t="str">
            <v>中井</v>
          </cell>
          <cell r="M3" t="str">
            <v>南</v>
          </cell>
          <cell r="N3" t="str">
            <v>平田恵</v>
          </cell>
          <cell r="O3" t="str">
            <v>西郡</v>
          </cell>
          <cell r="P3" t="str">
            <v>長田</v>
          </cell>
          <cell r="Q3" t="str">
            <v>田村</v>
          </cell>
          <cell r="R3" t="str">
            <v>大橋</v>
          </cell>
          <cell r="S3" t="str">
            <v>山本</v>
          </cell>
          <cell r="T3" t="str">
            <v>田村</v>
          </cell>
          <cell r="U3" t="str">
            <v>南</v>
          </cell>
          <cell r="V3" t="str">
            <v>清水</v>
          </cell>
          <cell r="W3" t="str">
            <v>加藤</v>
          </cell>
          <cell r="X3" t="str">
            <v>中井</v>
          </cell>
          <cell r="Y3" t="str">
            <v>佐藤恵</v>
          </cell>
          <cell r="Z3" t="str">
            <v>中村</v>
          </cell>
          <cell r="AA3" t="str">
            <v>大橋</v>
          </cell>
          <cell r="AB3" t="str">
            <v>山田</v>
          </cell>
          <cell r="AC3" t="str">
            <v>佐藤恵</v>
          </cell>
          <cell r="AD3" t="str">
            <v>山下</v>
          </cell>
          <cell r="AE3" t="str">
            <v>山本</v>
          </cell>
          <cell r="AF3" t="str">
            <v>山村</v>
          </cell>
          <cell r="AG3" t="str">
            <v>南</v>
          </cell>
          <cell r="AH3" t="str">
            <v/>
          </cell>
        </row>
        <row r="4">
          <cell r="D4" t="str">
            <v>庵</v>
          </cell>
          <cell r="E4" t="str">
            <v>龍野</v>
          </cell>
          <cell r="F4" t="str">
            <v>齊藤</v>
          </cell>
          <cell r="G4" t="str">
            <v>諸田</v>
          </cell>
          <cell r="H4" t="str">
            <v>南</v>
          </cell>
          <cell r="I4" t="str">
            <v>西郡</v>
          </cell>
          <cell r="J4" t="str">
            <v>澤野</v>
          </cell>
          <cell r="K4" t="str">
            <v>佐藤穂</v>
          </cell>
          <cell r="L4" t="str">
            <v>大橋</v>
          </cell>
          <cell r="M4" t="str">
            <v>松木</v>
          </cell>
          <cell r="N4" t="str">
            <v>庵</v>
          </cell>
          <cell r="O4" t="str">
            <v>諸田</v>
          </cell>
          <cell r="P4" t="str">
            <v>龍野</v>
          </cell>
          <cell r="Q4" t="str">
            <v>薬司</v>
          </cell>
          <cell r="R4" t="str">
            <v>松木</v>
          </cell>
          <cell r="S4" t="str">
            <v>清水</v>
          </cell>
          <cell r="T4" t="str">
            <v>齊藤</v>
          </cell>
          <cell r="U4" t="str">
            <v>長田</v>
          </cell>
          <cell r="V4" t="str">
            <v>本田</v>
          </cell>
          <cell r="W4" t="str">
            <v>佐藤穂</v>
          </cell>
          <cell r="X4" t="str">
            <v>澤野</v>
          </cell>
          <cell r="Y4" t="str">
            <v>西郡</v>
          </cell>
          <cell r="Z4" t="str">
            <v>庵</v>
          </cell>
          <cell r="AA4" t="str">
            <v>薬司</v>
          </cell>
          <cell r="AB4" t="str">
            <v>平田恵</v>
          </cell>
          <cell r="AC4" t="str">
            <v>本田</v>
          </cell>
          <cell r="AD4" t="str">
            <v>諸田</v>
          </cell>
          <cell r="AE4" t="str">
            <v>田村</v>
          </cell>
          <cell r="AF4" t="str">
            <v>中村</v>
          </cell>
          <cell r="AG4" t="str">
            <v>加藤</v>
          </cell>
          <cell r="AH4" t="str">
            <v/>
          </cell>
        </row>
      </sheetData>
      <sheetData sheetId="9">
        <row r="1">
          <cell r="D1">
            <v>44136</v>
          </cell>
          <cell r="E1">
            <v>44137</v>
          </cell>
          <cell r="F1">
            <v>44138</v>
          </cell>
          <cell r="G1">
            <v>44139</v>
          </cell>
          <cell r="H1">
            <v>44140</v>
          </cell>
          <cell r="I1">
            <v>44141</v>
          </cell>
          <cell r="J1">
            <v>44142</v>
          </cell>
          <cell r="K1">
            <v>44143</v>
          </cell>
          <cell r="L1">
            <v>44144</v>
          </cell>
          <cell r="M1">
            <v>44145</v>
          </cell>
          <cell r="N1">
            <v>44146</v>
          </cell>
          <cell r="O1">
            <v>44147</v>
          </cell>
          <cell r="P1">
            <v>44148</v>
          </cell>
          <cell r="Q1">
            <v>44149</v>
          </cell>
          <cell r="R1">
            <v>44150</v>
          </cell>
          <cell r="S1">
            <v>44151</v>
          </cell>
          <cell r="T1">
            <v>44152</v>
          </cell>
          <cell r="U1">
            <v>44153</v>
          </cell>
          <cell r="V1">
            <v>44154</v>
          </cell>
          <cell r="W1">
            <v>44155</v>
          </cell>
          <cell r="X1">
            <v>44156</v>
          </cell>
          <cell r="Y1">
            <v>44157</v>
          </cell>
          <cell r="Z1">
            <v>44158</v>
          </cell>
          <cell r="AA1">
            <v>44159</v>
          </cell>
          <cell r="AB1">
            <v>44160</v>
          </cell>
          <cell r="AC1">
            <v>44161</v>
          </cell>
          <cell r="AD1">
            <v>44162</v>
          </cell>
          <cell r="AE1">
            <v>44163</v>
          </cell>
          <cell r="AF1">
            <v>44164</v>
          </cell>
          <cell r="AG1">
            <v>44165</v>
          </cell>
          <cell r="AH1" t="str">
            <v/>
          </cell>
        </row>
        <row r="2">
          <cell r="D2">
            <v>44136</v>
          </cell>
          <cell r="E2">
            <v>44137</v>
          </cell>
          <cell r="F2">
            <v>44138</v>
          </cell>
          <cell r="G2">
            <v>44139</v>
          </cell>
          <cell r="H2">
            <v>44140</v>
          </cell>
          <cell r="I2">
            <v>44141</v>
          </cell>
          <cell r="J2">
            <v>44142</v>
          </cell>
          <cell r="K2">
            <v>44143</v>
          </cell>
          <cell r="L2">
            <v>44144</v>
          </cell>
          <cell r="M2">
            <v>44145</v>
          </cell>
          <cell r="N2">
            <v>44146</v>
          </cell>
          <cell r="O2">
            <v>44147</v>
          </cell>
          <cell r="P2">
            <v>44148</v>
          </cell>
          <cell r="Q2">
            <v>44149</v>
          </cell>
          <cell r="R2">
            <v>44150</v>
          </cell>
          <cell r="S2">
            <v>44151</v>
          </cell>
          <cell r="T2">
            <v>44152</v>
          </cell>
          <cell r="U2">
            <v>44153</v>
          </cell>
          <cell r="V2">
            <v>44154</v>
          </cell>
          <cell r="W2">
            <v>44155</v>
          </cell>
          <cell r="X2">
            <v>44156</v>
          </cell>
          <cell r="Y2">
            <v>44157</v>
          </cell>
          <cell r="Z2">
            <v>44158</v>
          </cell>
          <cell r="AA2">
            <v>44159</v>
          </cell>
          <cell r="AB2">
            <v>44160</v>
          </cell>
          <cell r="AC2">
            <v>44161</v>
          </cell>
          <cell r="AD2">
            <v>44162</v>
          </cell>
          <cell r="AE2">
            <v>44163</v>
          </cell>
          <cell r="AF2">
            <v>44164</v>
          </cell>
          <cell r="AG2">
            <v>44165</v>
          </cell>
          <cell r="AH2" t="str">
            <v/>
          </cell>
        </row>
        <row r="3">
          <cell r="D3" t="str">
            <v>宮崎</v>
          </cell>
          <cell r="E3" t="str">
            <v>清水</v>
          </cell>
          <cell r="F3" t="str">
            <v>宮崎</v>
          </cell>
          <cell r="G3" t="str">
            <v>加藤</v>
          </cell>
          <cell r="H3" t="str">
            <v>吉田</v>
          </cell>
          <cell r="I3" t="str">
            <v>大橋</v>
          </cell>
          <cell r="J3" t="str">
            <v>大畑</v>
          </cell>
          <cell r="K3" t="str">
            <v>宮崎</v>
          </cell>
          <cell r="L3" t="str">
            <v>山村</v>
          </cell>
          <cell r="M3" t="str">
            <v>中村</v>
          </cell>
          <cell r="N3" t="str">
            <v>南</v>
          </cell>
          <cell r="O3" t="str">
            <v>中井</v>
          </cell>
          <cell r="P3" t="str">
            <v>加藤</v>
          </cell>
          <cell r="Q3" t="str">
            <v>大畑</v>
          </cell>
          <cell r="R3" t="str">
            <v>宮崎</v>
          </cell>
          <cell r="S3" t="str">
            <v>大橋</v>
          </cell>
          <cell r="T3" t="str">
            <v>大畑</v>
          </cell>
          <cell r="U3" t="str">
            <v>中井</v>
          </cell>
          <cell r="V3" t="str">
            <v>山村</v>
          </cell>
          <cell r="W3" t="str">
            <v>薬司</v>
          </cell>
          <cell r="X3" t="str">
            <v>大畑</v>
          </cell>
          <cell r="Y3" t="str">
            <v>宮崎</v>
          </cell>
          <cell r="Z3" t="str">
            <v>宮崎</v>
          </cell>
          <cell r="AA3" t="str">
            <v>田村</v>
          </cell>
          <cell r="AB3" t="str">
            <v>平田真</v>
          </cell>
          <cell r="AC3" t="str">
            <v>中村</v>
          </cell>
          <cell r="AD3" t="str">
            <v>中村</v>
          </cell>
          <cell r="AE3" t="str">
            <v>大畑</v>
          </cell>
          <cell r="AF3" t="str">
            <v>宮崎</v>
          </cell>
          <cell r="AG3" t="str">
            <v>中村</v>
          </cell>
          <cell r="AH3" t="str">
            <v/>
          </cell>
        </row>
        <row r="4">
          <cell r="D4" t="str">
            <v>奥</v>
          </cell>
          <cell r="E4" t="str">
            <v>本田</v>
          </cell>
          <cell r="F4" t="str">
            <v>奥</v>
          </cell>
          <cell r="G4" t="str">
            <v>龍野</v>
          </cell>
          <cell r="H4" t="str">
            <v>田村</v>
          </cell>
          <cell r="I4" t="str">
            <v>大畑</v>
          </cell>
          <cell r="J4" t="str">
            <v>谷口</v>
          </cell>
          <cell r="K4" t="str">
            <v>奥</v>
          </cell>
          <cell r="L4" t="str">
            <v>田村</v>
          </cell>
          <cell r="M4" t="str">
            <v>佐藤穂</v>
          </cell>
          <cell r="N4" t="str">
            <v>澤野</v>
          </cell>
          <cell r="O4" t="str">
            <v>大橋</v>
          </cell>
          <cell r="P4" t="str">
            <v>大畑</v>
          </cell>
          <cell r="Q4" t="str">
            <v>谷口</v>
          </cell>
          <cell r="R4" t="str">
            <v>奥</v>
          </cell>
          <cell r="S4" t="str">
            <v>庵</v>
          </cell>
          <cell r="T4" t="str">
            <v>谷口</v>
          </cell>
          <cell r="U4" t="str">
            <v>佐藤恵</v>
          </cell>
          <cell r="V4" t="str">
            <v>山本</v>
          </cell>
          <cell r="W4" t="str">
            <v>大畑</v>
          </cell>
          <cell r="X4" t="str">
            <v>谷口</v>
          </cell>
          <cell r="Y4" t="str">
            <v>奥</v>
          </cell>
          <cell r="Z4" t="str">
            <v>奥</v>
          </cell>
          <cell r="AA4" t="str">
            <v>大畑</v>
          </cell>
          <cell r="AB4" t="str">
            <v>澤野</v>
          </cell>
          <cell r="AC4" t="str">
            <v>庵</v>
          </cell>
          <cell r="AD4" t="str">
            <v>大橋</v>
          </cell>
          <cell r="AE4" t="str">
            <v>谷口</v>
          </cell>
          <cell r="AF4" t="str">
            <v>奥</v>
          </cell>
          <cell r="AG4" t="str">
            <v>平田真</v>
          </cell>
          <cell r="AH4" t="str">
            <v/>
          </cell>
        </row>
        <row r="5">
          <cell r="D5" t="str">
            <v>山下</v>
          </cell>
          <cell r="E5" t="str">
            <v>谷口</v>
          </cell>
          <cell r="F5" t="str">
            <v>山下</v>
          </cell>
          <cell r="G5" t="str">
            <v>谷口</v>
          </cell>
          <cell r="H5" t="str">
            <v>大畑</v>
          </cell>
          <cell r="I5" t="str">
            <v>谷口</v>
          </cell>
          <cell r="J5" t="str">
            <v>阪井田</v>
          </cell>
          <cell r="K5" t="str">
            <v>山下</v>
          </cell>
          <cell r="L5" t="str">
            <v>阪井田</v>
          </cell>
          <cell r="M5" t="str">
            <v>大畑</v>
          </cell>
          <cell r="N5" t="str">
            <v>谷口</v>
          </cell>
          <cell r="O5" t="str">
            <v>山本</v>
          </cell>
          <cell r="P5" t="str">
            <v>谷口</v>
          </cell>
          <cell r="Q5" t="str">
            <v>阪井田</v>
          </cell>
          <cell r="R5" t="str">
            <v>山下</v>
          </cell>
          <cell r="S5" t="str">
            <v>大畑</v>
          </cell>
          <cell r="T5" t="str">
            <v>阪井田</v>
          </cell>
          <cell r="U5" t="str">
            <v>大畑</v>
          </cell>
          <cell r="V5" t="str">
            <v>長田</v>
          </cell>
          <cell r="W5" t="str">
            <v>谷口</v>
          </cell>
          <cell r="X5" t="str">
            <v>阪井田</v>
          </cell>
          <cell r="Y5" t="str">
            <v>山下</v>
          </cell>
          <cell r="Z5" t="str">
            <v>山下</v>
          </cell>
          <cell r="AA5" t="str">
            <v>谷口</v>
          </cell>
          <cell r="AB5" t="str">
            <v>西郡</v>
          </cell>
          <cell r="AC5" t="str">
            <v>大畑</v>
          </cell>
          <cell r="AD5" t="str">
            <v>庵</v>
          </cell>
          <cell r="AE5" t="str">
            <v>阪井田</v>
          </cell>
          <cell r="AF5" t="str">
            <v>山下</v>
          </cell>
          <cell r="AG5" t="str">
            <v>大畑</v>
          </cell>
          <cell r="AH5" t="str">
            <v/>
          </cell>
        </row>
        <row r="6">
          <cell r="D6" t="str">
            <v>山村</v>
          </cell>
          <cell r="E6" t="str">
            <v>阪井田</v>
          </cell>
          <cell r="F6" t="str">
            <v>山村</v>
          </cell>
          <cell r="G6" t="str">
            <v>阪井田</v>
          </cell>
          <cell r="H6" t="str">
            <v>谷口</v>
          </cell>
          <cell r="I6" t="str">
            <v>阪井田</v>
          </cell>
          <cell r="J6" t="str">
            <v>木田</v>
          </cell>
          <cell r="K6" t="str">
            <v>殿田</v>
          </cell>
          <cell r="L6" t="str">
            <v/>
          </cell>
          <cell r="M6" t="str">
            <v>谷口</v>
          </cell>
          <cell r="N6" t="str">
            <v>阪井田</v>
          </cell>
          <cell r="O6" t="str">
            <v>大畑</v>
          </cell>
          <cell r="P6" t="str">
            <v>阪井田</v>
          </cell>
          <cell r="Q6" t="str">
            <v>木田</v>
          </cell>
          <cell r="R6" t="str">
            <v>山村</v>
          </cell>
          <cell r="S6" t="str">
            <v>阪井田</v>
          </cell>
          <cell r="T6" t="str">
            <v>松木</v>
          </cell>
          <cell r="U6" t="str">
            <v>谷口</v>
          </cell>
          <cell r="V6" t="str">
            <v>大畑</v>
          </cell>
          <cell r="W6" t="str">
            <v>阪井田</v>
          </cell>
          <cell r="X6" t="str">
            <v>木田</v>
          </cell>
          <cell r="Y6" t="str">
            <v>山村</v>
          </cell>
          <cell r="Z6" t="str">
            <v>山村</v>
          </cell>
          <cell r="AA6" t="str">
            <v>阪井田</v>
          </cell>
          <cell r="AB6" t="str">
            <v>大畑</v>
          </cell>
          <cell r="AC6" t="str">
            <v>谷口</v>
          </cell>
          <cell r="AD6" t="str">
            <v>大畑</v>
          </cell>
          <cell r="AE6" t="str">
            <v>木田</v>
          </cell>
          <cell r="AF6" t="str">
            <v>殿田</v>
          </cell>
          <cell r="AG6" t="str">
            <v>阪井田</v>
          </cell>
          <cell r="AH6" t="str">
            <v/>
          </cell>
        </row>
        <row r="7">
          <cell r="D7" t="str">
            <v>殿田</v>
          </cell>
          <cell r="E7" t="str">
            <v/>
          </cell>
          <cell r="F7" t="str">
            <v>殿田</v>
          </cell>
          <cell r="G7" t="str">
            <v/>
          </cell>
          <cell r="H7" t="str">
            <v>阪井田</v>
          </cell>
          <cell r="I7" t="str">
            <v>諸田</v>
          </cell>
          <cell r="J7" t="str">
            <v/>
          </cell>
          <cell r="K7" t="str">
            <v>森本</v>
          </cell>
          <cell r="L7" t="str">
            <v/>
          </cell>
          <cell r="M7" t="str">
            <v>阪井田</v>
          </cell>
          <cell r="N7" t="str">
            <v/>
          </cell>
          <cell r="O7" t="str">
            <v>谷口</v>
          </cell>
          <cell r="P7" t="str">
            <v/>
          </cell>
          <cell r="Q7" t="str">
            <v/>
          </cell>
          <cell r="R7" t="str">
            <v>殿田</v>
          </cell>
          <cell r="S7" t="str">
            <v/>
          </cell>
          <cell r="T7" t="str">
            <v/>
          </cell>
          <cell r="U7" t="str">
            <v>阪井田</v>
          </cell>
          <cell r="V7" t="str">
            <v>谷口</v>
          </cell>
          <cell r="W7" t="str">
            <v/>
          </cell>
          <cell r="X7" t="str">
            <v/>
          </cell>
          <cell r="Y7" t="str">
            <v>殿田</v>
          </cell>
          <cell r="Z7" t="str">
            <v>殿田</v>
          </cell>
          <cell r="AA7" t="str">
            <v/>
          </cell>
          <cell r="AB7" t="str">
            <v>阪井田</v>
          </cell>
          <cell r="AC7" t="str">
            <v>阪井田</v>
          </cell>
          <cell r="AD7" t="str">
            <v>谷口</v>
          </cell>
          <cell r="AE7" t="str">
            <v/>
          </cell>
          <cell r="AF7" t="str">
            <v>森本</v>
          </cell>
          <cell r="AG7" t="str">
            <v/>
          </cell>
          <cell r="AH7" t="str">
            <v/>
          </cell>
        </row>
        <row r="8">
          <cell r="D8" t="str">
            <v>森本</v>
          </cell>
          <cell r="E8" t="str">
            <v/>
          </cell>
          <cell r="F8" t="str">
            <v>森本</v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>北</v>
          </cell>
          <cell r="L8" t="str">
            <v/>
          </cell>
          <cell r="M8" t="str">
            <v/>
          </cell>
          <cell r="N8" t="str">
            <v/>
          </cell>
          <cell r="O8" t="str">
            <v>阪井田</v>
          </cell>
          <cell r="P8" t="str">
            <v/>
          </cell>
          <cell r="Q8" t="str">
            <v/>
          </cell>
          <cell r="R8" t="str">
            <v>森本</v>
          </cell>
          <cell r="S8" t="str">
            <v/>
          </cell>
          <cell r="T8" t="str">
            <v/>
          </cell>
          <cell r="U8" t="str">
            <v/>
          </cell>
          <cell r="V8" t="str">
            <v>阪井田</v>
          </cell>
          <cell r="W8" t="str">
            <v/>
          </cell>
          <cell r="X8" t="str">
            <v/>
          </cell>
          <cell r="Y8" t="str">
            <v>森本</v>
          </cell>
          <cell r="Z8" t="str">
            <v>森本</v>
          </cell>
          <cell r="AA8" t="str">
            <v/>
          </cell>
          <cell r="AB8" t="str">
            <v/>
          </cell>
          <cell r="AC8" t="str">
            <v/>
          </cell>
          <cell r="AD8" t="str">
            <v>阪井田</v>
          </cell>
          <cell r="AE8" t="str">
            <v/>
          </cell>
          <cell r="AF8" t="str">
            <v>中井</v>
          </cell>
          <cell r="AG8" t="str">
            <v/>
          </cell>
          <cell r="AH8" t="str">
            <v/>
          </cell>
        </row>
        <row r="9">
          <cell r="D9" t="str">
            <v>中井</v>
          </cell>
          <cell r="E9" t="str">
            <v/>
          </cell>
          <cell r="F9" t="str">
            <v>中井</v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>中村</v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>中井</v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>中井</v>
          </cell>
          <cell r="Z9" t="str">
            <v>中井</v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>北</v>
          </cell>
          <cell r="AG9" t="str">
            <v/>
          </cell>
          <cell r="AH9" t="str">
            <v/>
          </cell>
        </row>
        <row r="10">
          <cell r="D10" t="str">
            <v>北</v>
          </cell>
          <cell r="E10" t="str">
            <v/>
          </cell>
          <cell r="F10" t="str">
            <v>北</v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>平田真</v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>北</v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>北</v>
          </cell>
          <cell r="Z10" t="str">
            <v>北</v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>大橋</v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44166</v>
          </cell>
          <cell r="E1">
            <v>44167</v>
          </cell>
          <cell r="F1">
            <v>44168</v>
          </cell>
          <cell r="G1">
            <v>44169</v>
          </cell>
          <cell r="H1">
            <v>44170</v>
          </cell>
          <cell r="I1">
            <v>44171</v>
          </cell>
          <cell r="J1">
            <v>44172</v>
          </cell>
          <cell r="K1">
            <v>44173</v>
          </cell>
          <cell r="L1">
            <v>44174</v>
          </cell>
          <cell r="M1">
            <v>44175</v>
          </cell>
          <cell r="N1">
            <v>44176</v>
          </cell>
          <cell r="O1">
            <v>44177</v>
          </cell>
          <cell r="P1">
            <v>44178</v>
          </cell>
          <cell r="Q1">
            <v>44179</v>
          </cell>
          <cell r="R1">
            <v>44180</v>
          </cell>
          <cell r="S1">
            <v>44181</v>
          </cell>
          <cell r="T1">
            <v>44182</v>
          </cell>
          <cell r="U1">
            <v>44183</v>
          </cell>
          <cell r="V1">
            <v>44184</v>
          </cell>
          <cell r="W1">
            <v>44185</v>
          </cell>
          <cell r="X1">
            <v>44186</v>
          </cell>
          <cell r="Y1">
            <v>44187</v>
          </cell>
          <cell r="Z1">
            <v>44188</v>
          </cell>
          <cell r="AA1">
            <v>44189</v>
          </cell>
          <cell r="AB1">
            <v>44190</v>
          </cell>
          <cell r="AC1">
            <v>44191</v>
          </cell>
          <cell r="AD1">
            <v>44192</v>
          </cell>
          <cell r="AE1">
            <v>44193</v>
          </cell>
          <cell r="AF1">
            <v>44194</v>
          </cell>
          <cell r="AG1">
            <v>44195</v>
          </cell>
          <cell r="AH1">
            <v>44196</v>
          </cell>
        </row>
        <row r="2">
          <cell r="D2">
            <v>44166</v>
          </cell>
          <cell r="E2">
            <v>44167</v>
          </cell>
          <cell r="F2">
            <v>44168</v>
          </cell>
          <cell r="G2">
            <v>44169</v>
          </cell>
          <cell r="H2">
            <v>44170</v>
          </cell>
          <cell r="I2">
            <v>44171</v>
          </cell>
          <cell r="J2">
            <v>44172</v>
          </cell>
          <cell r="K2">
            <v>44173</v>
          </cell>
          <cell r="L2">
            <v>44174</v>
          </cell>
          <cell r="M2">
            <v>44175</v>
          </cell>
          <cell r="N2">
            <v>44176</v>
          </cell>
          <cell r="O2">
            <v>44177</v>
          </cell>
          <cell r="P2">
            <v>44178</v>
          </cell>
          <cell r="Q2">
            <v>44179</v>
          </cell>
          <cell r="R2">
            <v>44180</v>
          </cell>
          <cell r="S2">
            <v>44181</v>
          </cell>
          <cell r="T2">
            <v>44182</v>
          </cell>
          <cell r="U2">
            <v>44183</v>
          </cell>
          <cell r="V2">
            <v>44184</v>
          </cell>
          <cell r="W2">
            <v>44185</v>
          </cell>
          <cell r="X2">
            <v>44186</v>
          </cell>
          <cell r="Y2">
            <v>44187</v>
          </cell>
          <cell r="Z2">
            <v>44188</v>
          </cell>
          <cell r="AA2">
            <v>44189</v>
          </cell>
          <cell r="AB2">
            <v>44190</v>
          </cell>
          <cell r="AC2">
            <v>44191</v>
          </cell>
          <cell r="AD2">
            <v>44192</v>
          </cell>
          <cell r="AE2">
            <v>44193</v>
          </cell>
          <cell r="AF2">
            <v>44194</v>
          </cell>
          <cell r="AG2">
            <v>44195</v>
          </cell>
          <cell r="AH2">
            <v>44196</v>
          </cell>
        </row>
        <row r="3">
          <cell r="D3" t="str">
            <v>清水</v>
          </cell>
          <cell r="E3" t="str">
            <v>中村</v>
          </cell>
          <cell r="F3" t="str">
            <v>長田</v>
          </cell>
          <cell r="G3" t="str">
            <v>山村</v>
          </cell>
          <cell r="H3" t="str">
            <v>大橋</v>
          </cell>
          <cell r="I3" t="str">
            <v>平田恵</v>
          </cell>
          <cell r="J3" t="str">
            <v>山下</v>
          </cell>
          <cell r="K3" t="str">
            <v>薬司</v>
          </cell>
          <cell r="L3" t="str">
            <v>山本</v>
          </cell>
          <cell r="M3" t="str">
            <v>山村</v>
          </cell>
          <cell r="N3" t="str">
            <v>南</v>
          </cell>
          <cell r="O3" t="str">
            <v>山田</v>
          </cell>
          <cell r="P3" t="str">
            <v>清水</v>
          </cell>
          <cell r="Q3" t="str">
            <v>田村</v>
          </cell>
          <cell r="R3" t="str">
            <v>本田</v>
          </cell>
          <cell r="S3" t="str">
            <v>南</v>
          </cell>
          <cell r="T3" t="str">
            <v>中村</v>
          </cell>
          <cell r="U3" t="str">
            <v>長田</v>
          </cell>
          <cell r="V3" t="str">
            <v>加藤</v>
          </cell>
          <cell r="W3" t="str">
            <v>山下</v>
          </cell>
          <cell r="X3" t="str">
            <v>中村</v>
          </cell>
          <cell r="Y3" t="str">
            <v>大橋</v>
          </cell>
          <cell r="Z3" t="str">
            <v>佐藤恵</v>
          </cell>
          <cell r="AA3" t="str">
            <v>山村</v>
          </cell>
          <cell r="AB3" t="str">
            <v>田村</v>
          </cell>
          <cell r="AC3" t="str">
            <v>山田</v>
          </cell>
          <cell r="AD3" t="str">
            <v>長田</v>
          </cell>
          <cell r="AE3" t="str">
            <v>南</v>
          </cell>
          <cell r="AF3" t="str">
            <v>加藤</v>
          </cell>
          <cell r="AG3" t="str">
            <v>中村</v>
          </cell>
          <cell r="AH3" t="str">
            <v>大橋</v>
          </cell>
        </row>
        <row r="4">
          <cell r="D4" t="str">
            <v>齊藤</v>
          </cell>
          <cell r="E4" t="str">
            <v>西郡</v>
          </cell>
          <cell r="F4" t="str">
            <v>龍野</v>
          </cell>
          <cell r="G4" t="str">
            <v>清水</v>
          </cell>
          <cell r="H4" t="str">
            <v>庵</v>
          </cell>
          <cell r="I4" t="str">
            <v>佐藤恵</v>
          </cell>
          <cell r="J4" t="str">
            <v>加藤</v>
          </cell>
          <cell r="K4" t="str">
            <v>諸田</v>
          </cell>
          <cell r="L4" t="str">
            <v>澤野</v>
          </cell>
          <cell r="M4" t="str">
            <v>清水</v>
          </cell>
          <cell r="N4" t="str">
            <v>田村</v>
          </cell>
          <cell r="O4" t="str">
            <v>佐藤恵</v>
          </cell>
          <cell r="P4" t="str">
            <v>齊藤</v>
          </cell>
          <cell r="Q4" t="str">
            <v>佐藤穂</v>
          </cell>
          <cell r="R4" t="str">
            <v>松木</v>
          </cell>
          <cell r="S4" t="str">
            <v>庵</v>
          </cell>
          <cell r="T4" t="str">
            <v>澤野</v>
          </cell>
          <cell r="U4" t="str">
            <v>齊藤</v>
          </cell>
          <cell r="V4" t="str">
            <v>諸田</v>
          </cell>
          <cell r="W4" t="str">
            <v>西郡</v>
          </cell>
          <cell r="X4" t="str">
            <v>山本</v>
          </cell>
          <cell r="Y4" t="str">
            <v>薬司</v>
          </cell>
          <cell r="Z4" t="str">
            <v>佐藤穂</v>
          </cell>
          <cell r="AA4" t="str">
            <v>龍野</v>
          </cell>
          <cell r="AB4" t="str">
            <v>本田</v>
          </cell>
          <cell r="AC4" t="str">
            <v>平田恵</v>
          </cell>
          <cell r="AD4" t="str">
            <v>庵</v>
          </cell>
          <cell r="AE4" t="str">
            <v>西郡</v>
          </cell>
          <cell r="AF4" t="str">
            <v>松木</v>
          </cell>
          <cell r="AG4" t="str">
            <v>龍野</v>
          </cell>
          <cell r="AH4" t="str">
            <v>諸田</v>
          </cell>
        </row>
      </sheetData>
      <sheetData sheetId="9">
        <row r="1">
          <cell r="D1">
            <v>44166</v>
          </cell>
          <cell r="E1">
            <v>44167</v>
          </cell>
          <cell r="F1">
            <v>44168</v>
          </cell>
          <cell r="G1">
            <v>44169</v>
          </cell>
          <cell r="H1">
            <v>44170</v>
          </cell>
          <cell r="I1">
            <v>44171</v>
          </cell>
          <cell r="J1">
            <v>44172</v>
          </cell>
          <cell r="K1">
            <v>44173</v>
          </cell>
          <cell r="L1">
            <v>44174</v>
          </cell>
          <cell r="M1">
            <v>44175</v>
          </cell>
          <cell r="N1">
            <v>44176</v>
          </cell>
          <cell r="O1">
            <v>44177</v>
          </cell>
          <cell r="P1">
            <v>44178</v>
          </cell>
          <cell r="Q1">
            <v>44179</v>
          </cell>
          <cell r="R1">
            <v>44180</v>
          </cell>
          <cell r="S1">
            <v>44181</v>
          </cell>
          <cell r="T1">
            <v>44182</v>
          </cell>
          <cell r="U1">
            <v>44183</v>
          </cell>
          <cell r="V1">
            <v>44184</v>
          </cell>
          <cell r="W1">
            <v>44185</v>
          </cell>
          <cell r="X1">
            <v>44186</v>
          </cell>
          <cell r="Y1">
            <v>44187</v>
          </cell>
          <cell r="Z1">
            <v>44188</v>
          </cell>
          <cell r="AA1">
            <v>44189</v>
          </cell>
          <cell r="AB1">
            <v>44190</v>
          </cell>
          <cell r="AC1">
            <v>44191</v>
          </cell>
          <cell r="AD1">
            <v>44192</v>
          </cell>
          <cell r="AE1">
            <v>44193</v>
          </cell>
          <cell r="AF1">
            <v>44194</v>
          </cell>
          <cell r="AG1">
            <v>44195</v>
          </cell>
          <cell r="AH1">
            <v>44196</v>
          </cell>
        </row>
        <row r="2">
          <cell r="D2">
            <v>44166</v>
          </cell>
          <cell r="E2">
            <v>44167</v>
          </cell>
          <cell r="F2">
            <v>44168</v>
          </cell>
          <cell r="G2">
            <v>44169</v>
          </cell>
          <cell r="H2">
            <v>44170</v>
          </cell>
          <cell r="I2">
            <v>44171</v>
          </cell>
          <cell r="J2">
            <v>44172</v>
          </cell>
          <cell r="K2">
            <v>44173</v>
          </cell>
          <cell r="L2">
            <v>44174</v>
          </cell>
          <cell r="M2">
            <v>44175</v>
          </cell>
          <cell r="N2">
            <v>44176</v>
          </cell>
          <cell r="O2">
            <v>44177</v>
          </cell>
          <cell r="P2">
            <v>44178</v>
          </cell>
          <cell r="Q2">
            <v>44179</v>
          </cell>
          <cell r="R2">
            <v>44180</v>
          </cell>
          <cell r="S2">
            <v>44181</v>
          </cell>
          <cell r="T2">
            <v>44182</v>
          </cell>
          <cell r="U2">
            <v>44183</v>
          </cell>
          <cell r="V2">
            <v>44184</v>
          </cell>
          <cell r="W2">
            <v>44185</v>
          </cell>
          <cell r="X2">
            <v>44186</v>
          </cell>
          <cell r="Y2">
            <v>44187</v>
          </cell>
          <cell r="Z2">
            <v>44188</v>
          </cell>
          <cell r="AA2">
            <v>44189</v>
          </cell>
          <cell r="AB2">
            <v>44190</v>
          </cell>
          <cell r="AC2">
            <v>44191</v>
          </cell>
          <cell r="AD2">
            <v>44192</v>
          </cell>
          <cell r="AE2">
            <v>44193</v>
          </cell>
          <cell r="AF2">
            <v>44194</v>
          </cell>
          <cell r="AG2">
            <v>44195</v>
          </cell>
          <cell r="AH2">
            <v>44196</v>
          </cell>
        </row>
        <row r="3">
          <cell r="D3" t="str">
            <v>加藤</v>
          </cell>
          <cell r="E3" t="str">
            <v>大橋</v>
          </cell>
          <cell r="F3" t="str">
            <v>大橋</v>
          </cell>
          <cell r="G3" t="str">
            <v>山本</v>
          </cell>
          <cell r="H3" t="str">
            <v>大畑</v>
          </cell>
          <cell r="I3" t="str">
            <v>宮崎</v>
          </cell>
          <cell r="J3" t="str">
            <v>南</v>
          </cell>
          <cell r="K3" t="str">
            <v>南</v>
          </cell>
          <cell r="L3" t="str">
            <v>庵</v>
          </cell>
          <cell r="M3" t="str">
            <v>山下</v>
          </cell>
          <cell r="N3" t="str">
            <v>中村</v>
          </cell>
          <cell r="O3" t="str">
            <v>大畑</v>
          </cell>
          <cell r="P3" t="str">
            <v>宮崎</v>
          </cell>
          <cell r="Q3" t="str">
            <v>中村</v>
          </cell>
          <cell r="R3" t="str">
            <v>清水</v>
          </cell>
          <cell r="S3" t="str">
            <v>田村</v>
          </cell>
          <cell r="T3" t="str">
            <v>南</v>
          </cell>
          <cell r="U3" t="str">
            <v>大橋</v>
          </cell>
          <cell r="V3" t="str">
            <v>大畑</v>
          </cell>
          <cell r="W3" t="str">
            <v>宮崎</v>
          </cell>
          <cell r="X3" t="str">
            <v>澤野</v>
          </cell>
          <cell r="Y3" t="str">
            <v>山田</v>
          </cell>
          <cell r="Z3" t="str">
            <v>山下</v>
          </cell>
          <cell r="AA3" t="str">
            <v>中村</v>
          </cell>
          <cell r="AB3" t="str">
            <v>山下</v>
          </cell>
          <cell r="AC3" t="str">
            <v>大畑</v>
          </cell>
          <cell r="AD3" t="str">
            <v>宮崎</v>
          </cell>
          <cell r="AE3" t="str">
            <v>山本</v>
          </cell>
          <cell r="AF3" t="str">
            <v>宮崎</v>
          </cell>
          <cell r="AG3" t="str">
            <v>宮崎</v>
          </cell>
          <cell r="AH3" t="str">
            <v>宮崎</v>
          </cell>
        </row>
        <row r="4">
          <cell r="D4" t="str">
            <v>大畑</v>
          </cell>
          <cell r="E4" t="str">
            <v>大畑</v>
          </cell>
          <cell r="F4" t="str">
            <v>加藤</v>
          </cell>
          <cell r="G4" t="str">
            <v>長田</v>
          </cell>
          <cell r="H4" t="str">
            <v>谷口</v>
          </cell>
          <cell r="I4" t="str">
            <v>奥</v>
          </cell>
          <cell r="J4" t="str">
            <v>本田</v>
          </cell>
          <cell r="K4" t="str">
            <v>清水</v>
          </cell>
          <cell r="L4" t="str">
            <v>佐藤恵</v>
          </cell>
          <cell r="M4" t="str">
            <v>大畑</v>
          </cell>
          <cell r="N4" t="str">
            <v>加藤</v>
          </cell>
          <cell r="O4" t="str">
            <v>谷口</v>
          </cell>
          <cell r="P4" t="str">
            <v>奥</v>
          </cell>
          <cell r="Q4" t="str">
            <v>大畑</v>
          </cell>
          <cell r="R4" t="str">
            <v>山田</v>
          </cell>
          <cell r="S4" t="str">
            <v>龍野</v>
          </cell>
          <cell r="T4" t="str">
            <v>清水</v>
          </cell>
          <cell r="U4" t="str">
            <v>平田恵</v>
          </cell>
          <cell r="V4" t="str">
            <v>谷口</v>
          </cell>
          <cell r="W4" t="str">
            <v>奥</v>
          </cell>
          <cell r="X4" t="str">
            <v>齊藤</v>
          </cell>
          <cell r="Y4" t="str">
            <v>大畑</v>
          </cell>
          <cell r="Z4" t="str">
            <v>大橋</v>
          </cell>
          <cell r="AA4" t="str">
            <v>平田真</v>
          </cell>
          <cell r="AB4" t="str">
            <v>龍野</v>
          </cell>
          <cell r="AC4" t="str">
            <v>谷口</v>
          </cell>
          <cell r="AD4" t="str">
            <v>奥</v>
          </cell>
          <cell r="AE4" t="str">
            <v>庵</v>
          </cell>
          <cell r="AF4" t="str">
            <v>奥</v>
          </cell>
          <cell r="AG4" t="str">
            <v>奥</v>
          </cell>
          <cell r="AH4" t="str">
            <v>奥</v>
          </cell>
        </row>
        <row r="5">
          <cell r="D5" t="str">
            <v>谷口</v>
          </cell>
          <cell r="E5" t="str">
            <v>谷口</v>
          </cell>
          <cell r="F5" t="str">
            <v>大畑</v>
          </cell>
          <cell r="G5" t="str">
            <v>龍野</v>
          </cell>
          <cell r="H5" t="str">
            <v>阪井田</v>
          </cell>
          <cell r="I5" t="str">
            <v>山村</v>
          </cell>
          <cell r="J5" t="str">
            <v>大畑</v>
          </cell>
          <cell r="K5" t="str">
            <v>平田恵</v>
          </cell>
          <cell r="L5" t="str">
            <v>大畑</v>
          </cell>
          <cell r="M5" t="str">
            <v>谷口</v>
          </cell>
          <cell r="N5" t="str">
            <v>大畑</v>
          </cell>
          <cell r="O5" t="str">
            <v>阪井田</v>
          </cell>
          <cell r="P5" t="str">
            <v>山下</v>
          </cell>
          <cell r="Q5" t="str">
            <v>谷口</v>
          </cell>
          <cell r="R5" t="str">
            <v>佐藤恵</v>
          </cell>
          <cell r="S5" t="str">
            <v>大畑</v>
          </cell>
          <cell r="T5" t="str">
            <v>佐藤穂</v>
          </cell>
          <cell r="U5" t="str">
            <v>大畑</v>
          </cell>
          <cell r="V5" t="str">
            <v>阪井田</v>
          </cell>
          <cell r="W5" t="str">
            <v>山村</v>
          </cell>
          <cell r="X5" t="str">
            <v>西郡</v>
          </cell>
          <cell r="Y5" t="str">
            <v>谷口</v>
          </cell>
          <cell r="Z5" t="str">
            <v>大畑</v>
          </cell>
          <cell r="AA5" t="str">
            <v>西郡</v>
          </cell>
          <cell r="AB5" t="str">
            <v>大畑</v>
          </cell>
          <cell r="AC5" t="str">
            <v>阪井田</v>
          </cell>
          <cell r="AD5" t="str">
            <v>山下</v>
          </cell>
          <cell r="AE5" t="str">
            <v>大畑</v>
          </cell>
          <cell r="AF5" t="str">
            <v>山下</v>
          </cell>
          <cell r="AG5" t="str">
            <v>山村</v>
          </cell>
          <cell r="AH5" t="str">
            <v>山下</v>
          </cell>
        </row>
        <row r="6">
          <cell r="D6" t="str">
            <v>阪井田</v>
          </cell>
          <cell r="E6" t="str">
            <v>阪井田</v>
          </cell>
          <cell r="F6" t="str">
            <v>谷口</v>
          </cell>
          <cell r="G6" t="str">
            <v>大畑</v>
          </cell>
          <cell r="H6" t="str">
            <v>木田</v>
          </cell>
          <cell r="I6" t="str">
            <v>殿田</v>
          </cell>
          <cell r="J6" t="str">
            <v>谷口</v>
          </cell>
          <cell r="K6" t="str">
            <v>大畑</v>
          </cell>
          <cell r="L6" t="str">
            <v>谷口</v>
          </cell>
          <cell r="M6" t="str">
            <v>阪井田</v>
          </cell>
          <cell r="N6" t="str">
            <v>谷口</v>
          </cell>
          <cell r="O6" t="str">
            <v>木田</v>
          </cell>
          <cell r="P6" t="str">
            <v>山村</v>
          </cell>
          <cell r="Q6" t="str">
            <v>阪井田</v>
          </cell>
          <cell r="R6" t="str">
            <v>大畑</v>
          </cell>
          <cell r="S6" t="str">
            <v>谷口</v>
          </cell>
          <cell r="T6" t="str">
            <v>大畑</v>
          </cell>
          <cell r="U6" t="str">
            <v>谷口</v>
          </cell>
          <cell r="V6" t="str">
            <v>木田</v>
          </cell>
          <cell r="W6" t="str">
            <v>殿田</v>
          </cell>
          <cell r="X6" t="str">
            <v>大畑</v>
          </cell>
          <cell r="Y6" t="str">
            <v>阪井田</v>
          </cell>
          <cell r="Z6" t="str">
            <v>谷口</v>
          </cell>
          <cell r="AA6" t="str">
            <v>大畑</v>
          </cell>
          <cell r="AB6" t="str">
            <v>谷口</v>
          </cell>
          <cell r="AC6" t="str">
            <v>木田</v>
          </cell>
          <cell r="AD6" t="str">
            <v>山村</v>
          </cell>
          <cell r="AE6" t="str">
            <v>谷口</v>
          </cell>
          <cell r="AF6" t="str">
            <v>山村</v>
          </cell>
          <cell r="AG6" t="str">
            <v>殿田</v>
          </cell>
          <cell r="AH6" t="str">
            <v>山村</v>
          </cell>
        </row>
        <row r="7">
          <cell r="D7" t="str">
            <v>諸田</v>
          </cell>
          <cell r="E7" t="str">
            <v>諸田</v>
          </cell>
          <cell r="F7" t="str">
            <v>阪井田</v>
          </cell>
          <cell r="G7" t="str">
            <v>谷口</v>
          </cell>
          <cell r="H7" t="str">
            <v/>
          </cell>
          <cell r="I7" t="str">
            <v>森本</v>
          </cell>
          <cell r="J7" t="str">
            <v>阪井田</v>
          </cell>
          <cell r="K7" t="str">
            <v>谷口</v>
          </cell>
          <cell r="L7" t="str">
            <v>阪井田</v>
          </cell>
          <cell r="M7" t="str">
            <v/>
          </cell>
          <cell r="N7" t="str">
            <v>阪井田</v>
          </cell>
          <cell r="O7" t="str">
            <v/>
          </cell>
          <cell r="P7" t="str">
            <v>殿田</v>
          </cell>
          <cell r="Q7" t="str">
            <v/>
          </cell>
          <cell r="R7" t="str">
            <v>谷口</v>
          </cell>
          <cell r="S7" t="str">
            <v>阪井田</v>
          </cell>
          <cell r="T7" t="str">
            <v>谷口</v>
          </cell>
          <cell r="U7" t="str">
            <v>阪井田</v>
          </cell>
          <cell r="V7" t="str">
            <v/>
          </cell>
          <cell r="W7" t="str">
            <v>森本</v>
          </cell>
          <cell r="X7" t="str">
            <v>谷口</v>
          </cell>
          <cell r="Y7" t="str">
            <v/>
          </cell>
          <cell r="Z7" t="str">
            <v>阪井田</v>
          </cell>
          <cell r="AA7" t="str">
            <v>谷口</v>
          </cell>
          <cell r="AB7" t="str">
            <v>阪井田</v>
          </cell>
          <cell r="AC7" t="str">
            <v/>
          </cell>
          <cell r="AD7" t="str">
            <v>殿田</v>
          </cell>
          <cell r="AE7" t="str">
            <v>阪井田</v>
          </cell>
          <cell r="AF7" t="str">
            <v>殿田</v>
          </cell>
          <cell r="AG7" t="str">
            <v>森本</v>
          </cell>
          <cell r="AH7" t="str">
            <v>殿田</v>
          </cell>
        </row>
        <row r="8">
          <cell r="D8" t="str">
            <v/>
          </cell>
          <cell r="E8" t="str">
            <v/>
          </cell>
          <cell r="F8" t="str">
            <v>松木</v>
          </cell>
          <cell r="G8" t="str">
            <v>阪井田</v>
          </cell>
          <cell r="H8" t="str">
            <v/>
          </cell>
          <cell r="I8" t="str">
            <v>中井</v>
          </cell>
          <cell r="J8" t="str">
            <v/>
          </cell>
          <cell r="K8" t="str">
            <v>阪井田</v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>森本</v>
          </cell>
          <cell r="Q8" t="str">
            <v/>
          </cell>
          <cell r="R8" t="str">
            <v>阪井田</v>
          </cell>
          <cell r="S8" t="str">
            <v/>
          </cell>
          <cell r="T8" t="str">
            <v>阪井田</v>
          </cell>
          <cell r="U8" t="str">
            <v/>
          </cell>
          <cell r="V8" t="str">
            <v/>
          </cell>
          <cell r="W8" t="str">
            <v>中井</v>
          </cell>
          <cell r="X8" t="str">
            <v>阪井田</v>
          </cell>
          <cell r="Y8" t="str">
            <v/>
          </cell>
          <cell r="Z8" t="str">
            <v>諸田</v>
          </cell>
          <cell r="AA8" t="str">
            <v>阪井田</v>
          </cell>
          <cell r="AB8" t="str">
            <v/>
          </cell>
          <cell r="AC8" t="str">
            <v/>
          </cell>
          <cell r="AD8" t="str">
            <v>森本</v>
          </cell>
          <cell r="AE8" t="str">
            <v/>
          </cell>
          <cell r="AF8" t="str">
            <v>森本</v>
          </cell>
          <cell r="AG8" t="str">
            <v>中井</v>
          </cell>
          <cell r="AH8" t="str">
            <v>森本</v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>北</v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>中井</v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>北</v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>中井</v>
          </cell>
          <cell r="AE9" t="str">
            <v/>
          </cell>
          <cell r="AF9" t="str">
            <v>中井</v>
          </cell>
          <cell r="AG9" t="str">
            <v>北</v>
          </cell>
          <cell r="AH9" t="str">
            <v>中井</v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>中村</v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>北</v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>平田真</v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>北</v>
          </cell>
          <cell r="AE10" t="str">
            <v/>
          </cell>
          <cell r="AF10" t="str">
            <v>北</v>
          </cell>
          <cell r="AG10" t="str">
            <v>平田真</v>
          </cell>
          <cell r="AH10" t="str">
            <v>北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44197</v>
          </cell>
          <cell r="E1">
            <v>44198</v>
          </cell>
          <cell r="F1">
            <v>44199</v>
          </cell>
          <cell r="G1">
            <v>44200</v>
          </cell>
          <cell r="H1">
            <v>44201</v>
          </cell>
          <cell r="I1">
            <v>44202</v>
          </cell>
          <cell r="J1">
            <v>44203</v>
          </cell>
          <cell r="K1">
            <v>44204</v>
          </cell>
          <cell r="L1">
            <v>44205</v>
          </cell>
          <cell r="M1">
            <v>44206</v>
          </cell>
          <cell r="N1">
            <v>44207</v>
          </cell>
          <cell r="O1">
            <v>44208</v>
          </cell>
          <cell r="P1">
            <v>44209</v>
          </cell>
          <cell r="Q1">
            <v>44210</v>
          </cell>
          <cell r="R1">
            <v>44211</v>
          </cell>
          <cell r="S1">
            <v>44212</v>
          </cell>
          <cell r="T1">
            <v>44213</v>
          </cell>
          <cell r="U1">
            <v>44214</v>
          </cell>
          <cell r="V1">
            <v>44215</v>
          </cell>
          <cell r="W1">
            <v>44216</v>
          </cell>
          <cell r="X1">
            <v>44217</v>
          </cell>
          <cell r="Y1">
            <v>44218</v>
          </cell>
          <cell r="Z1">
            <v>44219</v>
          </cell>
          <cell r="AA1">
            <v>44220</v>
          </cell>
          <cell r="AB1">
            <v>44221</v>
          </cell>
          <cell r="AC1">
            <v>44222</v>
          </cell>
          <cell r="AD1">
            <v>44223</v>
          </cell>
          <cell r="AE1">
            <v>44224</v>
          </cell>
          <cell r="AF1">
            <v>44225</v>
          </cell>
          <cell r="AG1">
            <v>44226</v>
          </cell>
          <cell r="AH1">
            <v>44227</v>
          </cell>
        </row>
        <row r="2">
          <cell r="D2">
            <v>44197</v>
          </cell>
          <cell r="E2">
            <v>44198</v>
          </cell>
          <cell r="F2">
            <v>44199</v>
          </cell>
          <cell r="G2">
            <v>44200</v>
          </cell>
          <cell r="H2">
            <v>44201</v>
          </cell>
          <cell r="I2">
            <v>44202</v>
          </cell>
          <cell r="J2">
            <v>44203</v>
          </cell>
          <cell r="K2">
            <v>44204</v>
          </cell>
          <cell r="L2">
            <v>44205</v>
          </cell>
          <cell r="M2">
            <v>44206</v>
          </cell>
          <cell r="N2">
            <v>44207</v>
          </cell>
          <cell r="O2">
            <v>44208</v>
          </cell>
          <cell r="P2">
            <v>44209</v>
          </cell>
          <cell r="Q2">
            <v>44210</v>
          </cell>
          <cell r="R2">
            <v>44211</v>
          </cell>
          <cell r="S2">
            <v>44212</v>
          </cell>
          <cell r="T2">
            <v>44213</v>
          </cell>
          <cell r="U2">
            <v>44214</v>
          </cell>
          <cell r="V2">
            <v>44215</v>
          </cell>
          <cell r="W2">
            <v>44216</v>
          </cell>
          <cell r="X2">
            <v>44217</v>
          </cell>
          <cell r="Y2">
            <v>44218</v>
          </cell>
          <cell r="Z2">
            <v>44219</v>
          </cell>
          <cell r="AA2">
            <v>44220</v>
          </cell>
          <cell r="AB2">
            <v>44221</v>
          </cell>
          <cell r="AC2">
            <v>44222</v>
          </cell>
          <cell r="AD2">
            <v>44223</v>
          </cell>
          <cell r="AE2">
            <v>44224</v>
          </cell>
          <cell r="AF2">
            <v>44225</v>
          </cell>
          <cell r="AG2">
            <v>44226</v>
          </cell>
          <cell r="AH2">
            <v>44227</v>
          </cell>
        </row>
        <row r="3">
          <cell r="D3" t="str">
            <v>南</v>
          </cell>
          <cell r="E3" t="str">
            <v>平田恵</v>
          </cell>
          <cell r="F3" t="str">
            <v>大橋</v>
          </cell>
          <cell r="G3" t="str">
            <v>山本</v>
          </cell>
          <cell r="H3" t="str">
            <v>田村</v>
          </cell>
          <cell r="I3" t="str">
            <v>長田</v>
          </cell>
          <cell r="J3" t="str">
            <v>山下</v>
          </cell>
          <cell r="K3" t="str">
            <v>山田</v>
          </cell>
          <cell r="L3" t="str">
            <v>平田恵</v>
          </cell>
          <cell r="M3" t="str">
            <v>清水</v>
          </cell>
          <cell r="N3" t="str">
            <v>中村</v>
          </cell>
          <cell r="O3" t="str">
            <v>南</v>
          </cell>
          <cell r="P3" t="str">
            <v>澤野</v>
          </cell>
          <cell r="Q3" t="str">
            <v>本田</v>
          </cell>
          <cell r="R3" t="str">
            <v>清水</v>
          </cell>
          <cell r="S3" t="str">
            <v>山村</v>
          </cell>
          <cell r="T3" t="str">
            <v>山下</v>
          </cell>
          <cell r="U3" t="str">
            <v>田村</v>
          </cell>
          <cell r="V3" t="str">
            <v>大橋</v>
          </cell>
          <cell r="W3" t="str">
            <v>中村</v>
          </cell>
          <cell r="X3" t="str">
            <v>加藤</v>
          </cell>
          <cell r="Y3" t="str">
            <v>澤野</v>
          </cell>
          <cell r="Z3" t="str">
            <v>山本</v>
          </cell>
          <cell r="AA3" t="str">
            <v>大橋</v>
          </cell>
          <cell r="AB3" t="str">
            <v>山村</v>
          </cell>
          <cell r="AC3" t="str">
            <v>清水</v>
          </cell>
          <cell r="AD3" t="str">
            <v>南</v>
          </cell>
          <cell r="AE3" t="str">
            <v>佐藤恵</v>
          </cell>
          <cell r="AF3" t="str">
            <v>平田恵</v>
          </cell>
          <cell r="AG3" t="str">
            <v>庵</v>
          </cell>
          <cell r="AH3" t="str">
            <v>田村</v>
          </cell>
        </row>
        <row r="4">
          <cell r="D4" t="str">
            <v>清水</v>
          </cell>
          <cell r="E4" t="str">
            <v>佐藤恵</v>
          </cell>
          <cell r="F4" t="str">
            <v>本田</v>
          </cell>
          <cell r="G4" t="str">
            <v>西郡</v>
          </cell>
          <cell r="H4" t="str">
            <v>佐藤穂</v>
          </cell>
          <cell r="I4" t="str">
            <v>松木</v>
          </cell>
          <cell r="J4" t="str">
            <v>中村</v>
          </cell>
          <cell r="K4" t="str">
            <v>諸田</v>
          </cell>
          <cell r="L4" t="str">
            <v>西郡</v>
          </cell>
          <cell r="M4" t="str">
            <v>龍野</v>
          </cell>
          <cell r="N4" t="str">
            <v>庵</v>
          </cell>
          <cell r="O4" t="str">
            <v>加藤</v>
          </cell>
          <cell r="P4" t="str">
            <v>田村</v>
          </cell>
          <cell r="Q4" t="str">
            <v>西郡</v>
          </cell>
          <cell r="R4" t="str">
            <v>龍野</v>
          </cell>
          <cell r="S4" t="str">
            <v>大橋</v>
          </cell>
          <cell r="T4" t="str">
            <v>佐藤恵</v>
          </cell>
          <cell r="U4" t="str">
            <v>松木</v>
          </cell>
          <cell r="V4" t="str">
            <v>南</v>
          </cell>
          <cell r="W4" t="str">
            <v>山田</v>
          </cell>
          <cell r="X4" t="str">
            <v>本田</v>
          </cell>
          <cell r="Y4" t="str">
            <v>齊藤</v>
          </cell>
          <cell r="Z4" t="str">
            <v>薬司</v>
          </cell>
          <cell r="AA4" t="str">
            <v>庵</v>
          </cell>
          <cell r="AB4" t="str">
            <v>西郡</v>
          </cell>
          <cell r="AC4" t="str">
            <v>佐藤穂</v>
          </cell>
          <cell r="AD4" t="str">
            <v>長田</v>
          </cell>
          <cell r="AE4" t="str">
            <v>諸田</v>
          </cell>
          <cell r="AF4" t="str">
            <v>本田</v>
          </cell>
          <cell r="AG4" t="str">
            <v>加藤</v>
          </cell>
          <cell r="AH4" t="str">
            <v>薬司</v>
          </cell>
        </row>
      </sheetData>
      <sheetData sheetId="9">
        <row r="1">
          <cell r="D1">
            <v>44197</v>
          </cell>
          <cell r="E1">
            <v>44198</v>
          </cell>
          <cell r="F1">
            <v>44199</v>
          </cell>
          <cell r="G1">
            <v>44200</v>
          </cell>
          <cell r="H1">
            <v>44201</v>
          </cell>
          <cell r="I1">
            <v>44202</v>
          </cell>
          <cell r="J1">
            <v>44203</v>
          </cell>
          <cell r="K1">
            <v>44204</v>
          </cell>
          <cell r="L1">
            <v>44205</v>
          </cell>
          <cell r="M1">
            <v>44206</v>
          </cell>
          <cell r="N1">
            <v>44207</v>
          </cell>
          <cell r="O1">
            <v>44208</v>
          </cell>
          <cell r="P1">
            <v>44209</v>
          </cell>
          <cell r="Q1">
            <v>44210</v>
          </cell>
          <cell r="R1">
            <v>44211</v>
          </cell>
          <cell r="S1">
            <v>44212</v>
          </cell>
          <cell r="T1">
            <v>44213</v>
          </cell>
          <cell r="U1">
            <v>44214</v>
          </cell>
          <cell r="V1">
            <v>44215</v>
          </cell>
          <cell r="W1">
            <v>44216</v>
          </cell>
          <cell r="X1">
            <v>44217</v>
          </cell>
          <cell r="Y1">
            <v>44218</v>
          </cell>
          <cell r="Z1">
            <v>44219</v>
          </cell>
          <cell r="AA1">
            <v>44220</v>
          </cell>
          <cell r="AB1">
            <v>44221</v>
          </cell>
          <cell r="AC1">
            <v>44222</v>
          </cell>
          <cell r="AD1">
            <v>44223</v>
          </cell>
          <cell r="AE1">
            <v>44224</v>
          </cell>
          <cell r="AF1">
            <v>44225</v>
          </cell>
          <cell r="AG1">
            <v>44226</v>
          </cell>
          <cell r="AH1">
            <v>44227</v>
          </cell>
        </row>
        <row r="2">
          <cell r="D2">
            <v>44197</v>
          </cell>
          <cell r="E2">
            <v>44198</v>
          </cell>
          <cell r="F2">
            <v>44199</v>
          </cell>
          <cell r="G2">
            <v>44200</v>
          </cell>
          <cell r="H2">
            <v>44201</v>
          </cell>
          <cell r="I2">
            <v>44202</v>
          </cell>
          <cell r="J2">
            <v>44203</v>
          </cell>
          <cell r="K2">
            <v>44204</v>
          </cell>
          <cell r="L2">
            <v>44205</v>
          </cell>
          <cell r="M2">
            <v>44206</v>
          </cell>
          <cell r="N2">
            <v>44207</v>
          </cell>
          <cell r="O2">
            <v>44208</v>
          </cell>
          <cell r="P2">
            <v>44209</v>
          </cell>
          <cell r="Q2">
            <v>44210</v>
          </cell>
          <cell r="R2">
            <v>44211</v>
          </cell>
          <cell r="S2">
            <v>44212</v>
          </cell>
          <cell r="T2">
            <v>44213</v>
          </cell>
          <cell r="U2">
            <v>44214</v>
          </cell>
          <cell r="V2">
            <v>44215</v>
          </cell>
          <cell r="W2">
            <v>44216</v>
          </cell>
          <cell r="X2">
            <v>44217</v>
          </cell>
          <cell r="Y2">
            <v>44218</v>
          </cell>
          <cell r="Z2">
            <v>44219</v>
          </cell>
          <cell r="AA2">
            <v>44220</v>
          </cell>
          <cell r="AB2">
            <v>44221</v>
          </cell>
          <cell r="AC2">
            <v>44222</v>
          </cell>
          <cell r="AD2">
            <v>44223</v>
          </cell>
          <cell r="AE2">
            <v>44224</v>
          </cell>
          <cell r="AF2">
            <v>44225</v>
          </cell>
          <cell r="AG2">
            <v>44226</v>
          </cell>
          <cell r="AH2">
            <v>44227</v>
          </cell>
        </row>
        <row r="3">
          <cell r="D3" t="str">
            <v>宮崎</v>
          </cell>
          <cell r="E3" t="str">
            <v>宮崎</v>
          </cell>
          <cell r="F3" t="str">
            <v>宮崎</v>
          </cell>
          <cell r="G3" t="str">
            <v>平田恵</v>
          </cell>
          <cell r="H3" t="str">
            <v>山下</v>
          </cell>
          <cell r="I3" t="str">
            <v>大橋</v>
          </cell>
          <cell r="J3" t="str">
            <v>山本</v>
          </cell>
          <cell r="K3" t="str">
            <v>中村</v>
          </cell>
          <cell r="L3" t="str">
            <v>大畑</v>
          </cell>
          <cell r="M3" t="str">
            <v>宮崎</v>
          </cell>
          <cell r="N3" t="str">
            <v>宮崎</v>
          </cell>
          <cell r="O3" t="str">
            <v>平田恵</v>
          </cell>
          <cell r="P3" t="str">
            <v>庵</v>
          </cell>
          <cell r="Q3" t="str">
            <v>山村</v>
          </cell>
          <cell r="R3" t="str">
            <v>平田真</v>
          </cell>
          <cell r="S3" t="str">
            <v>大畑</v>
          </cell>
          <cell r="T3" t="str">
            <v>宮崎</v>
          </cell>
          <cell r="U3" t="str">
            <v>山村</v>
          </cell>
          <cell r="V3" t="str">
            <v>山村</v>
          </cell>
          <cell r="W3" t="str">
            <v>南</v>
          </cell>
          <cell r="X3" t="str">
            <v>大橋</v>
          </cell>
          <cell r="Y3" t="str">
            <v>中村</v>
          </cell>
          <cell r="Z3" t="str">
            <v>大畑</v>
          </cell>
          <cell r="AA3" t="str">
            <v>宮崎</v>
          </cell>
          <cell r="AB3" t="str">
            <v>平田恵</v>
          </cell>
          <cell r="AC3" t="str">
            <v>山村</v>
          </cell>
          <cell r="AD3" t="str">
            <v>山本</v>
          </cell>
          <cell r="AE3" t="str">
            <v>庵</v>
          </cell>
          <cell r="AF3" t="str">
            <v>大橋</v>
          </cell>
          <cell r="AG3" t="str">
            <v>大畑</v>
          </cell>
          <cell r="AH3" t="str">
            <v>宮崎</v>
          </cell>
        </row>
        <row r="4">
          <cell r="D4" t="str">
            <v>奥</v>
          </cell>
          <cell r="E4" t="str">
            <v>奥</v>
          </cell>
          <cell r="F4" t="str">
            <v>奥</v>
          </cell>
          <cell r="G4" t="str">
            <v>加藤</v>
          </cell>
          <cell r="H4" t="str">
            <v>佐藤恵</v>
          </cell>
          <cell r="I4" t="str">
            <v>南</v>
          </cell>
          <cell r="J4" t="str">
            <v>長田</v>
          </cell>
          <cell r="K4" t="str">
            <v>本田</v>
          </cell>
          <cell r="L4" t="str">
            <v>谷口</v>
          </cell>
          <cell r="M4" t="str">
            <v>奥</v>
          </cell>
          <cell r="N4" t="str">
            <v>奥</v>
          </cell>
          <cell r="O4" t="str">
            <v>大畑</v>
          </cell>
          <cell r="P4" t="str">
            <v>大畑</v>
          </cell>
          <cell r="Q4" t="str">
            <v>大橋</v>
          </cell>
          <cell r="R4" t="str">
            <v>加藤</v>
          </cell>
          <cell r="S4" t="str">
            <v>谷口</v>
          </cell>
          <cell r="T4" t="str">
            <v>奥</v>
          </cell>
          <cell r="U4" t="str">
            <v>大畑</v>
          </cell>
          <cell r="V4" t="str">
            <v>田村</v>
          </cell>
          <cell r="W4" t="str">
            <v>清水</v>
          </cell>
          <cell r="X4" t="str">
            <v>佐藤恵</v>
          </cell>
          <cell r="Y4" t="str">
            <v>山田</v>
          </cell>
          <cell r="Z4" t="str">
            <v>谷口</v>
          </cell>
          <cell r="AA4" t="str">
            <v>奥</v>
          </cell>
          <cell r="AB4" t="str">
            <v>齊藤</v>
          </cell>
          <cell r="AC4" t="str">
            <v>佐藤恵</v>
          </cell>
          <cell r="AD4" t="str">
            <v>庵</v>
          </cell>
          <cell r="AE4" t="str">
            <v>薬司</v>
          </cell>
          <cell r="AF4" t="str">
            <v>西郡</v>
          </cell>
          <cell r="AG4" t="str">
            <v>谷口</v>
          </cell>
          <cell r="AH4" t="str">
            <v>奥</v>
          </cell>
        </row>
        <row r="5">
          <cell r="D5" t="str">
            <v>山下</v>
          </cell>
          <cell r="E5" t="str">
            <v>山下</v>
          </cell>
          <cell r="F5" t="str">
            <v>山下</v>
          </cell>
          <cell r="G5" t="str">
            <v>大畑</v>
          </cell>
          <cell r="H5" t="str">
            <v>大畑</v>
          </cell>
          <cell r="I5" t="str">
            <v>平田恵</v>
          </cell>
          <cell r="J5" t="str">
            <v>庵</v>
          </cell>
          <cell r="K5" t="str">
            <v>大畑</v>
          </cell>
          <cell r="L5" t="str">
            <v>阪井田</v>
          </cell>
          <cell r="M5" t="str">
            <v>山下</v>
          </cell>
          <cell r="N5" t="str">
            <v>山下</v>
          </cell>
          <cell r="O5" t="str">
            <v>谷口</v>
          </cell>
          <cell r="P5" t="str">
            <v>谷口</v>
          </cell>
          <cell r="Q5" t="str">
            <v>田村</v>
          </cell>
          <cell r="R5" t="str">
            <v>西郡</v>
          </cell>
          <cell r="S5" t="str">
            <v>阪井田</v>
          </cell>
          <cell r="T5" t="str">
            <v>殿田</v>
          </cell>
          <cell r="U5" t="str">
            <v>谷口</v>
          </cell>
          <cell r="V5" t="str">
            <v>大畑</v>
          </cell>
          <cell r="W5" t="str">
            <v>大畑</v>
          </cell>
          <cell r="X5" t="str">
            <v>龍野</v>
          </cell>
          <cell r="Y5" t="str">
            <v>本田</v>
          </cell>
          <cell r="Z5" t="str">
            <v>阪井田</v>
          </cell>
          <cell r="AA5" t="str">
            <v>山下</v>
          </cell>
          <cell r="AB5" t="str">
            <v>薬司</v>
          </cell>
          <cell r="AC5" t="str">
            <v>大畑</v>
          </cell>
          <cell r="AD5" t="str">
            <v>大畑</v>
          </cell>
          <cell r="AE5" t="str">
            <v>西郡</v>
          </cell>
          <cell r="AF5" t="str">
            <v>大畑</v>
          </cell>
          <cell r="AG5" t="str">
            <v>阪井田</v>
          </cell>
          <cell r="AH5" t="str">
            <v>山下</v>
          </cell>
        </row>
        <row r="6">
          <cell r="D6" t="str">
            <v>山村</v>
          </cell>
          <cell r="E6" t="str">
            <v>山村</v>
          </cell>
          <cell r="F6" t="str">
            <v>山村</v>
          </cell>
          <cell r="G6" t="str">
            <v>谷口</v>
          </cell>
          <cell r="H6" t="str">
            <v>谷口</v>
          </cell>
          <cell r="I6" t="str">
            <v>大畑</v>
          </cell>
          <cell r="J6" t="str">
            <v>佐藤恵</v>
          </cell>
          <cell r="K6" t="str">
            <v>谷口</v>
          </cell>
          <cell r="L6" t="str">
            <v>木田</v>
          </cell>
          <cell r="M6" t="str">
            <v>山村</v>
          </cell>
          <cell r="N6" t="str">
            <v>殿田</v>
          </cell>
          <cell r="O6" t="str">
            <v>阪井田</v>
          </cell>
          <cell r="P6" t="str">
            <v>阪井田</v>
          </cell>
          <cell r="Q6" t="str">
            <v>大畑</v>
          </cell>
          <cell r="R6" t="str">
            <v>大畑</v>
          </cell>
          <cell r="S6" t="str">
            <v>木田</v>
          </cell>
          <cell r="T6" t="str">
            <v>森本</v>
          </cell>
          <cell r="U6" t="str">
            <v>阪井田</v>
          </cell>
          <cell r="V6" t="str">
            <v>谷口</v>
          </cell>
          <cell r="W6" t="str">
            <v>谷口</v>
          </cell>
          <cell r="X6" t="str">
            <v>大畑</v>
          </cell>
          <cell r="Y6" t="str">
            <v>大畑</v>
          </cell>
          <cell r="Z6" t="str">
            <v>木田</v>
          </cell>
          <cell r="AA6" t="str">
            <v>殿田</v>
          </cell>
          <cell r="AB6" t="str">
            <v>大畑</v>
          </cell>
          <cell r="AC6" t="str">
            <v>谷口</v>
          </cell>
          <cell r="AD6" t="str">
            <v>谷口</v>
          </cell>
          <cell r="AE6" t="str">
            <v>大畑</v>
          </cell>
          <cell r="AF6" t="str">
            <v>谷口</v>
          </cell>
          <cell r="AG6" t="str">
            <v>木田</v>
          </cell>
          <cell r="AH6" t="str">
            <v>山村</v>
          </cell>
        </row>
        <row r="7">
          <cell r="D7" t="str">
            <v>殿田</v>
          </cell>
          <cell r="E7" t="str">
            <v>殿田</v>
          </cell>
          <cell r="F7" t="str">
            <v>殿田</v>
          </cell>
          <cell r="G7" t="str">
            <v>阪井田</v>
          </cell>
          <cell r="H7" t="str">
            <v>阪井田</v>
          </cell>
          <cell r="I7" t="str">
            <v>谷口</v>
          </cell>
          <cell r="J7" t="str">
            <v>大畑</v>
          </cell>
          <cell r="K7" t="str">
            <v>阪井田</v>
          </cell>
          <cell r="L7" t="str">
            <v/>
          </cell>
          <cell r="M7" t="str">
            <v>殿田</v>
          </cell>
          <cell r="N7" t="str">
            <v>森本</v>
          </cell>
          <cell r="O7" t="str">
            <v/>
          </cell>
          <cell r="P7" t="str">
            <v/>
          </cell>
          <cell r="Q7" t="str">
            <v>谷口</v>
          </cell>
          <cell r="R7" t="str">
            <v>谷口</v>
          </cell>
          <cell r="S7" t="str">
            <v/>
          </cell>
          <cell r="T7" t="str">
            <v>中井</v>
          </cell>
          <cell r="U7" t="str">
            <v/>
          </cell>
          <cell r="V7" t="str">
            <v>阪井田</v>
          </cell>
          <cell r="W7" t="str">
            <v>阪井田</v>
          </cell>
          <cell r="X7" t="str">
            <v>谷口</v>
          </cell>
          <cell r="Y7" t="str">
            <v>谷口</v>
          </cell>
          <cell r="Z7" t="str">
            <v/>
          </cell>
          <cell r="AA7" t="str">
            <v>森本</v>
          </cell>
          <cell r="AB7" t="str">
            <v>谷口</v>
          </cell>
          <cell r="AC7" t="str">
            <v>阪井田</v>
          </cell>
          <cell r="AD7" t="str">
            <v>阪井田</v>
          </cell>
          <cell r="AE7" t="str">
            <v>谷口</v>
          </cell>
          <cell r="AF7" t="str">
            <v>阪井田</v>
          </cell>
          <cell r="AG7" t="str">
            <v/>
          </cell>
          <cell r="AH7" t="str">
            <v>殿田</v>
          </cell>
        </row>
        <row r="8">
          <cell r="D8" t="str">
            <v>森本</v>
          </cell>
          <cell r="E8" t="str">
            <v>森本</v>
          </cell>
          <cell r="F8" t="str">
            <v>森本</v>
          </cell>
          <cell r="G8" t="str">
            <v/>
          </cell>
          <cell r="H8" t="str">
            <v/>
          </cell>
          <cell r="I8" t="str">
            <v>阪井田</v>
          </cell>
          <cell r="J8" t="str">
            <v>谷口</v>
          </cell>
          <cell r="K8" t="str">
            <v/>
          </cell>
          <cell r="L8" t="str">
            <v/>
          </cell>
          <cell r="M8" t="str">
            <v>森本</v>
          </cell>
          <cell r="N8" t="str">
            <v>中井</v>
          </cell>
          <cell r="O8" t="str">
            <v/>
          </cell>
          <cell r="P8" t="str">
            <v/>
          </cell>
          <cell r="Q8" t="str">
            <v>阪井田</v>
          </cell>
          <cell r="R8" t="str">
            <v>阪井田</v>
          </cell>
          <cell r="S8" t="str">
            <v/>
          </cell>
          <cell r="T8" t="str">
            <v>北</v>
          </cell>
          <cell r="U8" t="str">
            <v/>
          </cell>
          <cell r="V8" t="str">
            <v/>
          </cell>
          <cell r="W8" t="str">
            <v/>
          </cell>
          <cell r="X8" t="str">
            <v>阪井田</v>
          </cell>
          <cell r="Y8" t="str">
            <v>阪井田</v>
          </cell>
          <cell r="Z8" t="str">
            <v/>
          </cell>
          <cell r="AA8" t="str">
            <v>中井</v>
          </cell>
          <cell r="AB8" t="str">
            <v>阪井田</v>
          </cell>
          <cell r="AC8" t="str">
            <v>松木</v>
          </cell>
          <cell r="AD8" t="str">
            <v/>
          </cell>
          <cell r="AE8" t="str">
            <v>阪井田</v>
          </cell>
          <cell r="AF8" t="str">
            <v/>
          </cell>
          <cell r="AG8" t="str">
            <v/>
          </cell>
          <cell r="AH8" t="str">
            <v>森本</v>
          </cell>
        </row>
        <row r="9">
          <cell r="D9" t="str">
            <v>中井</v>
          </cell>
          <cell r="E9" t="str">
            <v>中井</v>
          </cell>
          <cell r="F9" t="str">
            <v>中井</v>
          </cell>
          <cell r="G9" t="str">
            <v/>
          </cell>
          <cell r="H9" t="str">
            <v/>
          </cell>
          <cell r="I9" t="str">
            <v/>
          </cell>
          <cell r="J9" t="str">
            <v>阪井田</v>
          </cell>
          <cell r="K9" t="str">
            <v/>
          </cell>
          <cell r="L9" t="str">
            <v/>
          </cell>
          <cell r="M9" t="str">
            <v>中井</v>
          </cell>
          <cell r="N9" t="str">
            <v>北</v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>中村</v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>北</v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>中井</v>
          </cell>
        </row>
        <row r="10">
          <cell r="D10" t="str">
            <v>北</v>
          </cell>
          <cell r="E10" t="str">
            <v>北</v>
          </cell>
          <cell r="F10" t="str">
            <v>北</v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>北</v>
          </cell>
          <cell r="N10" t="str">
            <v>平田真</v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>平田真</v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>中村</v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>北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44228</v>
          </cell>
          <cell r="E1">
            <v>44229</v>
          </cell>
          <cell r="F1">
            <v>44230</v>
          </cell>
          <cell r="G1">
            <v>44231</v>
          </cell>
          <cell r="H1">
            <v>44232</v>
          </cell>
          <cell r="I1">
            <v>44233</v>
          </cell>
          <cell r="J1">
            <v>44234</v>
          </cell>
          <cell r="K1">
            <v>44235</v>
          </cell>
          <cell r="L1">
            <v>44236</v>
          </cell>
          <cell r="M1">
            <v>44237</v>
          </cell>
          <cell r="N1">
            <v>44238</v>
          </cell>
          <cell r="O1">
            <v>44239</v>
          </cell>
          <cell r="P1">
            <v>44240</v>
          </cell>
          <cell r="Q1">
            <v>44241</v>
          </cell>
          <cell r="R1">
            <v>44242</v>
          </cell>
          <cell r="S1">
            <v>44243</v>
          </cell>
          <cell r="T1">
            <v>44244</v>
          </cell>
          <cell r="U1">
            <v>44245</v>
          </cell>
          <cell r="V1">
            <v>44246</v>
          </cell>
          <cell r="W1">
            <v>44247</v>
          </cell>
          <cell r="X1">
            <v>44248</v>
          </cell>
          <cell r="Y1">
            <v>44249</v>
          </cell>
          <cell r="Z1">
            <v>44250</v>
          </cell>
          <cell r="AA1">
            <v>44251</v>
          </cell>
          <cell r="AB1">
            <v>44252</v>
          </cell>
          <cell r="AC1">
            <v>44253</v>
          </cell>
          <cell r="AD1">
            <v>44254</v>
          </cell>
          <cell r="AE1">
            <v>44255</v>
          </cell>
          <cell r="AF1" t="str">
            <v/>
          </cell>
          <cell r="AG1" t="e">
            <v>#VALUE!</v>
          </cell>
          <cell r="AH1" t="e">
            <v>#VALUE!</v>
          </cell>
        </row>
        <row r="2">
          <cell r="D2">
            <v>44228</v>
          </cell>
          <cell r="E2">
            <v>44229</v>
          </cell>
          <cell r="F2">
            <v>44230</v>
          </cell>
          <cell r="G2">
            <v>44231</v>
          </cell>
          <cell r="H2">
            <v>44232</v>
          </cell>
          <cell r="I2">
            <v>44233</v>
          </cell>
          <cell r="J2">
            <v>44234</v>
          </cell>
          <cell r="K2">
            <v>44235</v>
          </cell>
          <cell r="L2">
            <v>44236</v>
          </cell>
          <cell r="M2">
            <v>44237</v>
          </cell>
          <cell r="N2">
            <v>44238</v>
          </cell>
          <cell r="O2">
            <v>44239</v>
          </cell>
          <cell r="P2">
            <v>44240</v>
          </cell>
          <cell r="Q2">
            <v>44241</v>
          </cell>
          <cell r="R2">
            <v>44242</v>
          </cell>
          <cell r="S2">
            <v>44243</v>
          </cell>
          <cell r="T2">
            <v>44244</v>
          </cell>
          <cell r="U2">
            <v>44245</v>
          </cell>
          <cell r="V2">
            <v>44246</v>
          </cell>
          <cell r="W2">
            <v>44247</v>
          </cell>
          <cell r="X2">
            <v>44248</v>
          </cell>
          <cell r="Y2">
            <v>44249</v>
          </cell>
          <cell r="Z2">
            <v>44250</v>
          </cell>
          <cell r="AA2">
            <v>44251</v>
          </cell>
          <cell r="AB2">
            <v>44252</v>
          </cell>
          <cell r="AC2">
            <v>44253</v>
          </cell>
          <cell r="AD2">
            <v>44254</v>
          </cell>
          <cell r="AE2">
            <v>44255</v>
          </cell>
          <cell r="AF2" t="str">
            <v/>
          </cell>
          <cell r="AG2" t="e">
            <v>#VALUE!</v>
          </cell>
          <cell r="AH2" t="e">
            <v>#VALUE!</v>
          </cell>
        </row>
        <row r="3">
          <cell r="D3" t="str">
            <v>齊藤</v>
          </cell>
          <cell r="E3" t="str">
            <v>山本</v>
          </cell>
          <cell r="F3" t="str">
            <v>大橋</v>
          </cell>
          <cell r="G3" t="str">
            <v>山村</v>
          </cell>
          <cell r="H3" t="str">
            <v>加藤</v>
          </cell>
          <cell r="I3" t="str">
            <v>田村</v>
          </cell>
          <cell r="J3" t="str">
            <v>長田</v>
          </cell>
          <cell r="K3" t="str">
            <v>中村</v>
          </cell>
          <cell r="L3" t="str">
            <v>薬司</v>
          </cell>
          <cell r="M3" t="str">
            <v>清水</v>
          </cell>
          <cell r="N3" t="str">
            <v>大橋</v>
          </cell>
          <cell r="O3" t="str">
            <v>澤野</v>
          </cell>
          <cell r="P3" t="str">
            <v>中村</v>
          </cell>
          <cell r="Q3" t="str">
            <v>佐藤穂</v>
          </cell>
          <cell r="R3" t="str">
            <v>田村</v>
          </cell>
          <cell r="S3" t="str">
            <v>山下</v>
          </cell>
          <cell r="T3" t="str">
            <v>山本</v>
          </cell>
          <cell r="U3" t="str">
            <v>南</v>
          </cell>
          <cell r="V3" t="str">
            <v>清水</v>
          </cell>
          <cell r="W3" t="str">
            <v>佐藤恵</v>
          </cell>
          <cell r="X3" t="str">
            <v>大橋</v>
          </cell>
          <cell r="Y3" t="str">
            <v>田村</v>
          </cell>
          <cell r="Z3" t="str">
            <v>山下</v>
          </cell>
          <cell r="AA3" t="str">
            <v>大橋</v>
          </cell>
          <cell r="AB3" t="str">
            <v>山田</v>
          </cell>
          <cell r="AC3" t="str">
            <v>清水</v>
          </cell>
          <cell r="AD3" t="str">
            <v>山村</v>
          </cell>
          <cell r="AE3" t="str">
            <v>佐藤恵</v>
          </cell>
          <cell r="AF3" t="str">
            <v/>
          </cell>
          <cell r="AG3" t="str">
            <v/>
          </cell>
          <cell r="AH3" t="str">
            <v/>
          </cell>
        </row>
        <row r="4">
          <cell r="D4" t="str">
            <v>佐藤恵</v>
          </cell>
          <cell r="E4" t="str">
            <v>山田</v>
          </cell>
          <cell r="F4" t="str">
            <v>庵</v>
          </cell>
          <cell r="G4" t="str">
            <v>西郡</v>
          </cell>
          <cell r="H4" t="str">
            <v>龍野</v>
          </cell>
          <cell r="I4" t="str">
            <v>佐藤穂</v>
          </cell>
          <cell r="J4" t="str">
            <v>諸田</v>
          </cell>
          <cell r="K4" t="str">
            <v>南</v>
          </cell>
          <cell r="L4" t="str">
            <v>西郡</v>
          </cell>
          <cell r="M4" t="str">
            <v>齊藤</v>
          </cell>
          <cell r="N4" t="str">
            <v>本田</v>
          </cell>
          <cell r="O4" t="str">
            <v>佐藤恵</v>
          </cell>
          <cell r="P4" t="str">
            <v>庵</v>
          </cell>
          <cell r="Q4" t="str">
            <v>西郡</v>
          </cell>
          <cell r="R4" t="str">
            <v>龍野</v>
          </cell>
          <cell r="S4" t="str">
            <v>中村</v>
          </cell>
          <cell r="T4" t="str">
            <v>長田</v>
          </cell>
          <cell r="U4" t="str">
            <v>加藤</v>
          </cell>
          <cell r="V4" t="str">
            <v>松木</v>
          </cell>
          <cell r="W4" t="str">
            <v>薬司</v>
          </cell>
          <cell r="X4" t="str">
            <v>齊藤</v>
          </cell>
          <cell r="Y4" t="str">
            <v>松木</v>
          </cell>
          <cell r="Z4" t="str">
            <v>加藤</v>
          </cell>
          <cell r="AA4" t="str">
            <v>澤野</v>
          </cell>
          <cell r="AB4" t="str">
            <v>平田恵</v>
          </cell>
          <cell r="AC4" t="str">
            <v>佐藤穂</v>
          </cell>
          <cell r="AD4" t="str">
            <v>長田</v>
          </cell>
          <cell r="AE4" t="str">
            <v>本田</v>
          </cell>
          <cell r="AF4" t="str">
            <v/>
          </cell>
          <cell r="AG4" t="str">
            <v/>
          </cell>
          <cell r="AH4" t="str">
            <v/>
          </cell>
        </row>
      </sheetData>
      <sheetData sheetId="9">
        <row r="1">
          <cell r="D1">
            <v>44228</v>
          </cell>
          <cell r="E1">
            <v>44229</v>
          </cell>
          <cell r="F1">
            <v>44230</v>
          </cell>
          <cell r="G1">
            <v>44231</v>
          </cell>
          <cell r="H1">
            <v>44232</v>
          </cell>
          <cell r="I1">
            <v>44233</v>
          </cell>
          <cell r="J1">
            <v>44234</v>
          </cell>
          <cell r="K1">
            <v>44235</v>
          </cell>
          <cell r="L1">
            <v>44236</v>
          </cell>
          <cell r="M1">
            <v>44237</v>
          </cell>
          <cell r="N1">
            <v>44238</v>
          </cell>
          <cell r="O1">
            <v>44239</v>
          </cell>
          <cell r="P1">
            <v>44240</v>
          </cell>
          <cell r="Q1">
            <v>44241</v>
          </cell>
          <cell r="R1">
            <v>44242</v>
          </cell>
          <cell r="S1">
            <v>44243</v>
          </cell>
          <cell r="T1">
            <v>44244</v>
          </cell>
          <cell r="U1">
            <v>44245</v>
          </cell>
          <cell r="V1">
            <v>44246</v>
          </cell>
          <cell r="W1">
            <v>44247</v>
          </cell>
          <cell r="X1">
            <v>44248</v>
          </cell>
          <cell r="Y1">
            <v>44249</v>
          </cell>
          <cell r="Z1">
            <v>44250</v>
          </cell>
          <cell r="AA1">
            <v>44251</v>
          </cell>
          <cell r="AB1">
            <v>44252</v>
          </cell>
          <cell r="AC1">
            <v>44253</v>
          </cell>
          <cell r="AD1">
            <v>44254</v>
          </cell>
          <cell r="AE1">
            <v>44255</v>
          </cell>
          <cell r="AF1" t="str">
            <v/>
          </cell>
          <cell r="AG1" t="e">
            <v>#VALUE!</v>
          </cell>
          <cell r="AH1" t="e">
            <v>#VALUE!</v>
          </cell>
        </row>
        <row r="2">
          <cell r="D2">
            <v>44228</v>
          </cell>
          <cell r="E2">
            <v>44229</v>
          </cell>
          <cell r="F2">
            <v>44230</v>
          </cell>
          <cell r="G2">
            <v>44231</v>
          </cell>
          <cell r="H2">
            <v>44232</v>
          </cell>
          <cell r="I2">
            <v>44233</v>
          </cell>
          <cell r="J2">
            <v>44234</v>
          </cell>
          <cell r="K2">
            <v>44235</v>
          </cell>
          <cell r="L2">
            <v>44236</v>
          </cell>
          <cell r="M2">
            <v>44237</v>
          </cell>
          <cell r="N2">
            <v>44238</v>
          </cell>
          <cell r="O2">
            <v>44239</v>
          </cell>
          <cell r="P2">
            <v>44240</v>
          </cell>
          <cell r="Q2">
            <v>44241</v>
          </cell>
          <cell r="R2">
            <v>44242</v>
          </cell>
          <cell r="S2">
            <v>44243</v>
          </cell>
          <cell r="T2">
            <v>44244</v>
          </cell>
          <cell r="U2">
            <v>44245</v>
          </cell>
          <cell r="V2">
            <v>44246</v>
          </cell>
          <cell r="W2">
            <v>44247</v>
          </cell>
          <cell r="X2">
            <v>44248</v>
          </cell>
          <cell r="Y2">
            <v>44249</v>
          </cell>
          <cell r="Z2">
            <v>44250</v>
          </cell>
          <cell r="AA2">
            <v>44251</v>
          </cell>
          <cell r="AB2">
            <v>44252</v>
          </cell>
          <cell r="AC2">
            <v>44253</v>
          </cell>
          <cell r="AD2">
            <v>44254</v>
          </cell>
          <cell r="AE2">
            <v>44255</v>
          </cell>
          <cell r="AF2" t="str">
            <v/>
          </cell>
          <cell r="AG2" t="e">
            <v>#VALUE!</v>
          </cell>
          <cell r="AH2" t="e">
            <v>#VALUE!</v>
          </cell>
        </row>
        <row r="3">
          <cell r="D3" t="str">
            <v>長田</v>
          </cell>
          <cell r="E3" t="str">
            <v>大畑</v>
          </cell>
          <cell r="F3" t="str">
            <v>山下</v>
          </cell>
          <cell r="G3" t="str">
            <v>澤野</v>
          </cell>
          <cell r="H3" t="str">
            <v>南</v>
          </cell>
          <cell r="I3" t="str">
            <v>大畑</v>
          </cell>
          <cell r="J3" t="str">
            <v>宮崎</v>
          </cell>
          <cell r="K3" t="str">
            <v>長田</v>
          </cell>
          <cell r="L3" t="str">
            <v>本田</v>
          </cell>
          <cell r="M3" t="str">
            <v>中村</v>
          </cell>
          <cell r="N3" t="str">
            <v>宮崎</v>
          </cell>
          <cell r="O3" t="str">
            <v>平田真</v>
          </cell>
          <cell r="P3" t="str">
            <v>大畑</v>
          </cell>
          <cell r="Q3" t="str">
            <v>宮崎</v>
          </cell>
          <cell r="R3" t="str">
            <v>平田恵</v>
          </cell>
          <cell r="S3" t="str">
            <v>大橋</v>
          </cell>
          <cell r="T3" t="str">
            <v>大橋</v>
          </cell>
          <cell r="U3" t="str">
            <v>田村</v>
          </cell>
          <cell r="V3" t="str">
            <v>中村</v>
          </cell>
          <cell r="W3" t="str">
            <v>大畑</v>
          </cell>
          <cell r="X3" t="str">
            <v>宮崎</v>
          </cell>
          <cell r="Y3" t="str">
            <v>山村</v>
          </cell>
          <cell r="Z3" t="str">
            <v>宮崎</v>
          </cell>
          <cell r="AA3" t="str">
            <v>長田</v>
          </cell>
          <cell r="AB3" t="str">
            <v>田村</v>
          </cell>
          <cell r="AC3" t="str">
            <v>大橋</v>
          </cell>
          <cell r="AD3" t="str">
            <v>大畑</v>
          </cell>
          <cell r="AE3" t="str">
            <v>宮崎</v>
          </cell>
          <cell r="AF3" t="str">
            <v/>
          </cell>
          <cell r="AG3" t="str">
            <v/>
          </cell>
          <cell r="AH3" t="str">
            <v/>
          </cell>
        </row>
        <row r="4">
          <cell r="D4" t="str">
            <v>大畑</v>
          </cell>
          <cell r="E4" t="str">
            <v>谷口</v>
          </cell>
          <cell r="F4" t="str">
            <v>本田</v>
          </cell>
          <cell r="G4" t="str">
            <v>田村</v>
          </cell>
          <cell r="H4" t="str">
            <v>佐藤恵</v>
          </cell>
          <cell r="I4" t="str">
            <v>谷口</v>
          </cell>
          <cell r="J4" t="str">
            <v>奥</v>
          </cell>
          <cell r="K4" t="str">
            <v>佐藤恵</v>
          </cell>
          <cell r="L4" t="str">
            <v>大畑</v>
          </cell>
          <cell r="M4" t="str">
            <v>大畑</v>
          </cell>
          <cell r="N4" t="str">
            <v>奥</v>
          </cell>
          <cell r="O4" t="str">
            <v>大橋</v>
          </cell>
          <cell r="P4" t="str">
            <v>谷口</v>
          </cell>
          <cell r="Q4" t="str">
            <v>奥</v>
          </cell>
          <cell r="R4" t="str">
            <v>庵</v>
          </cell>
          <cell r="S4" t="str">
            <v>大畑</v>
          </cell>
          <cell r="T4" t="str">
            <v>佐藤恵</v>
          </cell>
          <cell r="U4" t="str">
            <v>齊藤</v>
          </cell>
          <cell r="V4" t="str">
            <v>澤野</v>
          </cell>
          <cell r="W4" t="str">
            <v>谷口</v>
          </cell>
          <cell r="X4" t="str">
            <v>奥</v>
          </cell>
          <cell r="Y4" t="str">
            <v>本田</v>
          </cell>
          <cell r="Z4" t="str">
            <v>奥</v>
          </cell>
          <cell r="AA4" t="str">
            <v>齊藤</v>
          </cell>
          <cell r="AB4" t="str">
            <v>佐藤恵</v>
          </cell>
          <cell r="AC4" t="str">
            <v>加藤</v>
          </cell>
          <cell r="AD4" t="str">
            <v>谷口</v>
          </cell>
          <cell r="AE4" t="str">
            <v>奥</v>
          </cell>
          <cell r="AF4" t="str">
            <v/>
          </cell>
          <cell r="AG4" t="str">
            <v/>
          </cell>
          <cell r="AH4" t="str">
            <v/>
          </cell>
        </row>
        <row r="5">
          <cell r="D5" t="str">
            <v>谷口</v>
          </cell>
          <cell r="E5" t="str">
            <v>阪井田</v>
          </cell>
          <cell r="F5" t="str">
            <v>大畑</v>
          </cell>
          <cell r="G5" t="str">
            <v>大畑</v>
          </cell>
          <cell r="H5" t="str">
            <v>大畑</v>
          </cell>
          <cell r="I5" t="str">
            <v>阪井田</v>
          </cell>
          <cell r="J5" t="str">
            <v>山下</v>
          </cell>
          <cell r="K5" t="str">
            <v>龍野</v>
          </cell>
          <cell r="L5" t="str">
            <v>谷口</v>
          </cell>
          <cell r="M5" t="str">
            <v>谷口</v>
          </cell>
          <cell r="N5" t="str">
            <v>山下</v>
          </cell>
          <cell r="O5" t="str">
            <v>大畑</v>
          </cell>
          <cell r="P5" t="str">
            <v>阪井田</v>
          </cell>
          <cell r="Q5" t="str">
            <v>山下</v>
          </cell>
          <cell r="R5" t="str">
            <v>佐藤穂</v>
          </cell>
          <cell r="S5" t="str">
            <v>谷口</v>
          </cell>
          <cell r="T5" t="str">
            <v>大畑</v>
          </cell>
          <cell r="U5" t="str">
            <v>佐藤穂</v>
          </cell>
          <cell r="V5" t="str">
            <v>大畑</v>
          </cell>
          <cell r="W5" t="str">
            <v>阪井田</v>
          </cell>
          <cell r="X5" t="str">
            <v>山下</v>
          </cell>
          <cell r="Y5" t="str">
            <v>薬司</v>
          </cell>
          <cell r="Z5" t="str">
            <v>山村</v>
          </cell>
          <cell r="AA5" t="str">
            <v>大畑</v>
          </cell>
          <cell r="AB5" t="str">
            <v>西郡</v>
          </cell>
          <cell r="AC5" t="str">
            <v>大畑</v>
          </cell>
          <cell r="AD5" t="str">
            <v>阪井田</v>
          </cell>
          <cell r="AE5" t="str">
            <v>山下</v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>阪井田</v>
          </cell>
          <cell r="E6" t="str">
            <v>松木</v>
          </cell>
          <cell r="F6" t="str">
            <v>谷口</v>
          </cell>
          <cell r="G6" t="str">
            <v>谷口</v>
          </cell>
          <cell r="H6" t="str">
            <v>谷口</v>
          </cell>
          <cell r="I6" t="str">
            <v>木田</v>
          </cell>
          <cell r="J6" t="str">
            <v>山村</v>
          </cell>
          <cell r="K6" t="str">
            <v>大畑</v>
          </cell>
          <cell r="L6" t="str">
            <v>阪井田</v>
          </cell>
          <cell r="M6" t="str">
            <v>阪井田</v>
          </cell>
          <cell r="N6" t="str">
            <v>山村</v>
          </cell>
          <cell r="O6" t="str">
            <v>谷口</v>
          </cell>
          <cell r="P6" t="str">
            <v>木田</v>
          </cell>
          <cell r="Q6" t="str">
            <v>山村</v>
          </cell>
          <cell r="R6" t="str">
            <v>大畑</v>
          </cell>
          <cell r="S6" t="str">
            <v>阪井田</v>
          </cell>
          <cell r="T6" t="str">
            <v>谷口</v>
          </cell>
          <cell r="U6" t="str">
            <v>大畑</v>
          </cell>
          <cell r="V6" t="str">
            <v>谷口</v>
          </cell>
          <cell r="W6" t="str">
            <v>木田</v>
          </cell>
          <cell r="X6" t="str">
            <v>山村</v>
          </cell>
          <cell r="Y6" t="str">
            <v>大畑</v>
          </cell>
          <cell r="Z6" t="str">
            <v>殿田</v>
          </cell>
          <cell r="AA6" t="str">
            <v>谷口</v>
          </cell>
          <cell r="AB6" t="str">
            <v>大畑</v>
          </cell>
          <cell r="AC6" t="str">
            <v>谷口</v>
          </cell>
          <cell r="AD6" t="str">
            <v>木田</v>
          </cell>
          <cell r="AE6" t="str">
            <v>山村</v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>阪井田</v>
          </cell>
          <cell r="G7" t="str">
            <v>阪井田</v>
          </cell>
          <cell r="H7" t="str">
            <v>阪井田</v>
          </cell>
          <cell r="I7" t="str">
            <v/>
          </cell>
          <cell r="J7" t="str">
            <v>殿田</v>
          </cell>
          <cell r="K7" t="str">
            <v>谷口</v>
          </cell>
          <cell r="L7" t="str">
            <v/>
          </cell>
          <cell r="M7" t="str">
            <v/>
          </cell>
          <cell r="N7" t="str">
            <v>殿田</v>
          </cell>
          <cell r="O7" t="str">
            <v>阪井田</v>
          </cell>
          <cell r="P7" t="str">
            <v/>
          </cell>
          <cell r="Q7" t="str">
            <v>殿田</v>
          </cell>
          <cell r="R7" t="str">
            <v>谷口</v>
          </cell>
          <cell r="S7" t="str">
            <v>諸田</v>
          </cell>
          <cell r="T7" t="str">
            <v>阪井田</v>
          </cell>
          <cell r="U7" t="str">
            <v>谷口</v>
          </cell>
          <cell r="V7" t="str">
            <v>阪井田</v>
          </cell>
          <cell r="W7" t="str">
            <v/>
          </cell>
          <cell r="X7" t="str">
            <v>殿田</v>
          </cell>
          <cell r="Y7" t="str">
            <v>谷口</v>
          </cell>
          <cell r="Z7" t="str">
            <v>森本</v>
          </cell>
          <cell r="AA7" t="str">
            <v>阪井田</v>
          </cell>
          <cell r="AB7" t="str">
            <v>谷口</v>
          </cell>
          <cell r="AC7" t="str">
            <v>阪井田</v>
          </cell>
          <cell r="AD7" t="str">
            <v/>
          </cell>
          <cell r="AE7" t="str">
            <v>殿田</v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>森本</v>
          </cell>
          <cell r="K8" t="str">
            <v>阪井田</v>
          </cell>
          <cell r="L8" t="str">
            <v/>
          </cell>
          <cell r="M8" t="str">
            <v/>
          </cell>
          <cell r="N8" t="str">
            <v>森本</v>
          </cell>
          <cell r="O8" t="str">
            <v/>
          </cell>
          <cell r="P8" t="str">
            <v/>
          </cell>
          <cell r="Q8" t="str">
            <v>森本</v>
          </cell>
          <cell r="R8" t="str">
            <v>阪井田</v>
          </cell>
          <cell r="S8" t="str">
            <v/>
          </cell>
          <cell r="T8" t="str">
            <v/>
          </cell>
          <cell r="U8" t="str">
            <v>阪井田</v>
          </cell>
          <cell r="V8" t="str">
            <v/>
          </cell>
          <cell r="W8" t="str">
            <v/>
          </cell>
          <cell r="X8" t="str">
            <v>森本</v>
          </cell>
          <cell r="Y8" t="str">
            <v>阪井田</v>
          </cell>
          <cell r="Z8" t="str">
            <v>中井</v>
          </cell>
          <cell r="AA8" t="str">
            <v/>
          </cell>
          <cell r="AB8" t="str">
            <v>阪井田</v>
          </cell>
          <cell r="AC8" t="str">
            <v>諸田</v>
          </cell>
          <cell r="AD8" t="str">
            <v/>
          </cell>
          <cell r="AE8" t="str">
            <v>森本</v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>中井</v>
          </cell>
          <cell r="K9" t="str">
            <v/>
          </cell>
          <cell r="L9" t="str">
            <v/>
          </cell>
          <cell r="M9" t="str">
            <v/>
          </cell>
          <cell r="N9" t="str">
            <v>中井</v>
          </cell>
          <cell r="O9" t="str">
            <v/>
          </cell>
          <cell r="P9" t="str">
            <v/>
          </cell>
          <cell r="Q9" t="str">
            <v>中井</v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>中井</v>
          </cell>
          <cell r="Y9" t="str">
            <v/>
          </cell>
          <cell r="Z9" t="str">
            <v>北</v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>中井</v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>北</v>
          </cell>
          <cell r="K10" t="str">
            <v/>
          </cell>
          <cell r="L10" t="str">
            <v/>
          </cell>
          <cell r="M10" t="str">
            <v/>
          </cell>
          <cell r="N10" t="str">
            <v>北</v>
          </cell>
          <cell r="O10" t="str">
            <v/>
          </cell>
          <cell r="P10" t="str">
            <v/>
          </cell>
          <cell r="Q10" t="str">
            <v>北</v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>北</v>
          </cell>
          <cell r="Y10" t="str">
            <v/>
          </cell>
          <cell r="Z10" t="str">
            <v>中村</v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>北</v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日勤"/>
      <sheetName val="例外"/>
      <sheetName val="勤務表 (2)"/>
      <sheetName val="拘"/>
      <sheetName val="月表示"/>
      <sheetName val="拘束者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44256</v>
          </cell>
          <cell r="E1">
            <v>44257</v>
          </cell>
          <cell r="F1">
            <v>44258</v>
          </cell>
          <cell r="G1">
            <v>44259</v>
          </cell>
          <cell r="H1">
            <v>44260</v>
          </cell>
          <cell r="I1">
            <v>44261</v>
          </cell>
          <cell r="J1">
            <v>44262</v>
          </cell>
          <cell r="K1">
            <v>44263</v>
          </cell>
          <cell r="L1">
            <v>44264</v>
          </cell>
          <cell r="M1">
            <v>44265</v>
          </cell>
          <cell r="N1">
            <v>44266</v>
          </cell>
          <cell r="O1">
            <v>44267</v>
          </cell>
          <cell r="P1">
            <v>44268</v>
          </cell>
          <cell r="Q1">
            <v>44269</v>
          </cell>
          <cell r="R1">
            <v>44270</v>
          </cell>
          <cell r="S1">
            <v>44271</v>
          </cell>
          <cell r="T1">
            <v>44272</v>
          </cell>
          <cell r="U1">
            <v>44273</v>
          </cell>
          <cell r="V1">
            <v>44274</v>
          </cell>
          <cell r="W1">
            <v>44275</v>
          </cell>
          <cell r="X1">
            <v>44276</v>
          </cell>
          <cell r="Y1">
            <v>44277</v>
          </cell>
          <cell r="Z1">
            <v>44278</v>
          </cell>
          <cell r="AA1">
            <v>44279</v>
          </cell>
          <cell r="AB1">
            <v>44280</v>
          </cell>
          <cell r="AC1">
            <v>44281</v>
          </cell>
          <cell r="AD1">
            <v>44282</v>
          </cell>
          <cell r="AE1">
            <v>44283</v>
          </cell>
          <cell r="AF1">
            <v>44284</v>
          </cell>
          <cell r="AG1">
            <v>44285</v>
          </cell>
          <cell r="AH1">
            <v>44286</v>
          </cell>
        </row>
        <row r="2">
          <cell r="D2">
            <v>44256</v>
          </cell>
          <cell r="E2">
            <v>44257</v>
          </cell>
          <cell r="F2">
            <v>44258</v>
          </cell>
          <cell r="G2">
            <v>44259</v>
          </cell>
          <cell r="H2">
            <v>44260</v>
          </cell>
          <cell r="I2">
            <v>44261</v>
          </cell>
          <cell r="J2">
            <v>44262</v>
          </cell>
          <cell r="K2">
            <v>44263</v>
          </cell>
          <cell r="L2">
            <v>44264</v>
          </cell>
          <cell r="M2">
            <v>44265</v>
          </cell>
          <cell r="N2">
            <v>44266</v>
          </cell>
          <cell r="O2">
            <v>44267</v>
          </cell>
          <cell r="P2">
            <v>44268</v>
          </cell>
          <cell r="Q2">
            <v>44269</v>
          </cell>
          <cell r="R2">
            <v>44270</v>
          </cell>
          <cell r="S2">
            <v>44271</v>
          </cell>
          <cell r="T2">
            <v>44272</v>
          </cell>
          <cell r="U2">
            <v>44273</v>
          </cell>
          <cell r="V2">
            <v>44274</v>
          </cell>
          <cell r="W2">
            <v>44275</v>
          </cell>
          <cell r="X2">
            <v>44276</v>
          </cell>
          <cell r="Y2">
            <v>44277</v>
          </cell>
          <cell r="Z2">
            <v>44278</v>
          </cell>
          <cell r="AA2">
            <v>44279</v>
          </cell>
          <cell r="AB2">
            <v>44280</v>
          </cell>
          <cell r="AC2">
            <v>44281</v>
          </cell>
          <cell r="AD2">
            <v>44282</v>
          </cell>
          <cell r="AE2">
            <v>44283</v>
          </cell>
          <cell r="AF2">
            <v>44284</v>
          </cell>
          <cell r="AG2">
            <v>44285</v>
          </cell>
          <cell r="AH2">
            <v>44286</v>
          </cell>
        </row>
        <row r="3">
          <cell r="D3" t="str">
            <v>大橋</v>
          </cell>
          <cell r="E3" t="str">
            <v>南</v>
          </cell>
          <cell r="F3" t="str">
            <v>田村</v>
          </cell>
          <cell r="G3" t="str">
            <v>長田</v>
          </cell>
          <cell r="H3" t="str">
            <v>山村</v>
          </cell>
          <cell r="I3" t="str">
            <v>山田</v>
          </cell>
          <cell r="J3" t="str">
            <v>大橋</v>
          </cell>
          <cell r="K3" t="str">
            <v>清水</v>
          </cell>
          <cell r="L3" t="str">
            <v>長田</v>
          </cell>
          <cell r="M3" t="str">
            <v>庵</v>
          </cell>
          <cell r="N3" t="str">
            <v>大橋</v>
          </cell>
          <cell r="O3" t="str">
            <v>佐藤穂</v>
          </cell>
          <cell r="P3" t="str">
            <v>清水</v>
          </cell>
          <cell r="Q3" t="str">
            <v>南</v>
          </cell>
          <cell r="R3" t="str">
            <v>加藤</v>
          </cell>
          <cell r="S3" t="str">
            <v>中村</v>
          </cell>
          <cell r="T3" t="str">
            <v>山下</v>
          </cell>
          <cell r="U3" t="str">
            <v>山田</v>
          </cell>
          <cell r="V3" t="str">
            <v>清水</v>
          </cell>
          <cell r="W3" t="str">
            <v>大橋</v>
          </cell>
          <cell r="X3" t="str">
            <v>山本</v>
          </cell>
          <cell r="Y3" t="str">
            <v>龍野</v>
          </cell>
          <cell r="Z3" t="str">
            <v>大橋</v>
          </cell>
          <cell r="AA3" t="str">
            <v>山村</v>
          </cell>
          <cell r="AB3" t="str">
            <v>庵</v>
          </cell>
          <cell r="AC3" t="str">
            <v>薬司</v>
          </cell>
          <cell r="AD3" t="str">
            <v>清水</v>
          </cell>
          <cell r="AE3" t="str">
            <v>山本</v>
          </cell>
          <cell r="AF3" t="str">
            <v>南</v>
          </cell>
          <cell r="AG3" t="str">
            <v>山下</v>
          </cell>
          <cell r="AH3" t="str">
            <v>大橋</v>
          </cell>
        </row>
        <row r="4">
          <cell r="D4" t="str">
            <v>諸田</v>
          </cell>
          <cell r="E4" t="str">
            <v>加藤</v>
          </cell>
          <cell r="F4" t="str">
            <v>松木</v>
          </cell>
          <cell r="G4" t="str">
            <v>齊藤</v>
          </cell>
          <cell r="H4" t="str">
            <v>中村</v>
          </cell>
          <cell r="I4" t="str">
            <v>西郡</v>
          </cell>
          <cell r="J4" t="str">
            <v>澤野</v>
          </cell>
          <cell r="K4" t="str">
            <v>薬司</v>
          </cell>
          <cell r="L4" t="str">
            <v>龍野</v>
          </cell>
          <cell r="M4" t="str">
            <v>本田</v>
          </cell>
          <cell r="N4" t="str">
            <v>山本</v>
          </cell>
          <cell r="O4" t="str">
            <v>諸田</v>
          </cell>
          <cell r="P4" t="str">
            <v>齊藤</v>
          </cell>
          <cell r="Q4" t="str">
            <v>佐藤恵</v>
          </cell>
          <cell r="R4" t="str">
            <v>薬司</v>
          </cell>
          <cell r="S4" t="str">
            <v>龍野</v>
          </cell>
          <cell r="T4" t="str">
            <v>西郡</v>
          </cell>
          <cell r="U4" t="str">
            <v>松木</v>
          </cell>
          <cell r="V4" t="str">
            <v>齊藤</v>
          </cell>
          <cell r="W4" t="str">
            <v>本田</v>
          </cell>
          <cell r="X4" t="str">
            <v>長田</v>
          </cell>
          <cell r="Y4" t="str">
            <v>西郡</v>
          </cell>
          <cell r="Z4" t="str">
            <v>諸田</v>
          </cell>
          <cell r="AA4" t="str">
            <v>澤野</v>
          </cell>
          <cell r="AB4" t="str">
            <v>佐藤恵</v>
          </cell>
          <cell r="AC4" t="str">
            <v>西郡</v>
          </cell>
          <cell r="AD4" t="str">
            <v>松木</v>
          </cell>
          <cell r="AE4" t="str">
            <v>田村</v>
          </cell>
          <cell r="AF4" t="str">
            <v>加藤</v>
          </cell>
          <cell r="AG4" t="str">
            <v>佐藤穂</v>
          </cell>
          <cell r="AH4" t="str">
            <v>平田恵</v>
          </cell>
        </row>
      </sheetData>
      <sheetData sheetId="9">
        <row r="1">
          <cell r="D1">
            <v>44256</v>
          </cell>
          <cell r="E1">
            <v>44257</v>
          </cell>
          <cell r="F1">
            <v>44258</v>
          </cell>
          <cell r="G1">
            <v>44259</v>
          </cell>
          <cell r="H1">
            <v>44260</v>
          </cell>
          <cell r="I1">
            <v>44261</v>
          </cell>
          <cell r="J1">
            <v>44262</v>
          </cell>
          <cell r="K1">
            <v>44263</v>
          </cell>
          <cell r="L1">
            <v>44264</v>
          </cell>
          <cell r="M1">
            <v>44265</v>
          </cell>
          <cell r="N1">
            <v>44266</v>
          </cell>
          <cell r="O1">
            <v>44267</v>
          </cell>
          <cell r="P1">
            <v>44268</v>
          </cell>
          <cell r="Q1">
            <v>44269</v>
          </cell>
          <cell r="R1">
            <v>44270</v>
          </cell>
          <cell r="S1">
            <v>44271</v>
          </cell>
          <cell r="T1">
            <v>44272</v>
          </cell>
          <cell r="U1">
            <v>44273</v>
          </cell>
          <cell r="V1">
            <v>44274</v>
          </cell>
          <cell r="W1">
            <v>44275</v>
          </cell>
          <cell r="X1">
            <v>44276</v>
          </cell>
          <cell r="Y1">
            <v>44277</v>
          </cell>
          <cell r="Z1">
            <v>44278</v>
          </cell>
          <cell r="AA1">
            <v>44279</v>
          </cell>
          <cell r="AB1">
            <v>44280</v>
          </cell>
          <cell r="AC1">
            <v>44281</v>
          </cell>
          <cell r="AD1">
            <v>44282</v>
          </cell>
          <cell r="AE1">
            <v>44283</v>
          </cell>
          <cell r="AF1">
            <v>44284</v>
          </cell>
          <cell r="AG1">
            <v>44285</v>
          </cell>
          <cell r="AH1">
            <v>44286</v>
          </cell>
        </row>
        <row r="2">
          <cell r="D2">
            <v>44256</v>
          </cell>
          <cell r="E2">
            <v>44257</v>
          </cell>
          <cell r="F2">
            <v>44258</v>
          </cell>
          <cell r="G2">
            <v>44259</v>
          </cell>
          <cell r="H2">
            <v>44260</v>
          </cell>
          <cell r="I2">
            <v>44261</v>
          </cell>
          <cell r="J2">
            <v>44262</v>
          </cell>
          <cell r="K2">
            <v>44263</v>
          </cell>
          <cell r="L2">
            <v>44264</v>
          </cell>
          <cell r="M2">
            <v>44265</v>
          </cell>
          <cell r="N2">
            <v>44266</v>
          </cell>
          <cell r="O2">
            <v>44267</v>
          </cell>
          <cell r="P2">
            <v>44268</v>
          </cell>
          <cell r="Q2">
            <v>44269</v>
          </cell>
          <cell r="R2">
            <v>44270</v>
          </cell>
          <cell r="S2">
            <v>44271</v>
          </cell>
          <cell r="T2">
            <v>44272</v>
          </cell>
          <cell r="U2">
            <v>44273</v>
          </cell>
          <cell r="V2">
            <v>44274</v>
          </cell>
          <cell r="W2">
            <v>44275</v>
          </cell>
          <cell r="X2">
            <v>44276</v>
          </cell>
          <cell r="Y2">
            <v>44277</v>
          </cell>
          <cell r="Z2">
            <v>44278</v>
          </cell>
          <cell r="AA2">
            <v>44279</v>
          </cell>
          <cell r="AB2">
            <v>44280</v>
          </cell>
          <cell r="AC2">
            <v>44281</v>
          </cell>
          <cell r="AD2">
            <v>44282</v>
          </cell>
          <cell r="AE2">
            <v>44283</v>
          </cell>
          <cell r="AF2">
            <v>44284</v>
          </cell>
          <cell r="AG2">
            <v>44285</v>
          </cell>
          <cell r="AH2">
            <v>44286</v>
          </cell>
        </row>
        <row r="3">
          <cell r="D3" t="str">
            <v>庵</v>
          </cell>
          <cell r="E3" t="str">
            <v>山本</v>
          </cell>
          <cell r="F3" t="str">
            <v>山田</v>
          </cell>
          <cell r="G3" t="str">
            <v>大畑</v>
          </cell>
          <cell r="H3" t="str">
            <v>田村</v>
          </cell>
          <cell r="I3" t="str">
            <v>大畑</v>
          </cell>
          <cell r="J3" t="str">
            <v>宮崎</v>
          </cell>
          <cell r="K3" t="str">
            <v>西郡</v>
          </cell>
          <cell r="L3" t="str">
            <v>清水</v>
          </cell>
          <cell r="M3" t="str">
            <v>澤野</v>
          </cell>
          <cell r="N3" t="str">
            <v>大畑</v>
          </cell>
          <cell r="O3" t="str">
            <v>大橋</v>
          </cell>
          <cell r="P3" t="str">
            <v>大畑</v>
          </cell>
          <cell r="Q3" t="str">
            <v>宮崎</v>
          </cell>
          <cell r="R3" t="str">
            <v>大畑</v>
          </cell>
          <cell r="S3" t="str">
            <v>南</v>
          </cell>
          <cell r="T3" t="str">
            <v>平田恵</v>
          </cell>
          <cell r="U3" t="str">
            <v>佐藤恵</v>
          </cell>
          <cell r="V3" t="str">
            <v>山村</v>
          </cell>
          <cell r="W3" t="str">
            <v>宮崎</v>
          </cell>
          <cell r="X3" t="str">
            <v>宮崎</v>
          </cell>
          <cell r="Y3" t="str">
            <v>加藤</v>
          </cell>
          <cell r="Z3" t="str">
            <v>長田</v>
          </cell>
          <cell r="AA3" t="str">
            <v>山本</v>
          </cell>
          <cell r="AB3" t="str">
            <v>澤野</v>
          </cell>
          <cell r="AC3" t="str">
            <v>大橋</v>
          </cell>
          <cell r="AD3" t="str">
            <v>大畑</v>
          </cell>
          <cell r="AE3" t="str">
            <v>宮崎</v>
          </cell>
          <cell r="AF3" t="str">
            <v>清水</v>
          </cell>
          <cell r="AG3" t="str">
            <v>南</v>
          </cell>
          <cell r="AH3" t="str">
            <v>西郡</v>
          </cell>
        </row>
        <row r="4">
          <cell r="D4" t="str">
            <v>大畑</v>
          </cell>
          <cell r="E4" t="str">
            <v>大畑</v>
          </cell>
          <cell r="F4" t="str">
            <v>阪井田</v>
          </cell>
          <cell r="G4" t="str">
            <v>谷口</v>
          </cell>
          <cell r="H4" t="str">
            <v>大畑</v>
          </cell>
          <cell r="I4" t="str">
            <v>谷口</v>
          </cell>
          <cell r="J4" t="str">
            <v>奥</v>
          </cell>
          <cell r="K4" t="str">
            <v>大畑</v>
          </cell>
          <cell r="L4" t="str">
            <v>大畑</v>
          </cell>
          <cell r="M4" t="str">
            <v>大畑</v>
          </cell>
          <cell r="N4" t="str">
            <v>谷口</v>
          </cell>
          <cell r="O4" t="str">
            <v>加藤</v>
          </cell>
          <cell r="P4" t="str">
            <v>谷口</v>
          </cell>
          <cell r="Q4" t="str">
            <v>奥</v>
          </cell>
          <cell r="R4" t="str">
            <v>谷口</v>
          </cell>
          <cell r="S4" t="str">
            <v>大畑</v>
          </cell>
          <cell r="T4" t="str">
            <v>大畑</v>
          </cell>
          <cell r="U4" t="str">
            <v>薬司</v>
          </cell>
          <cell r="V4" t="str">
            <v>大畑</v>
          </cell>
          <cell r="W4" t="str">
            <v>奥</v>
          </cell>
          <cell r="X4" t="str">
            <v>奥</v>
          </cell>
          <cell r="Y4" t="str">
            <v>大畑</v>
          </cell>
          <cell r="Z4" t="str">
            <v>龍野</v>
          </cell>
          <cell r="AA4" t="str">
            <v>長田</v>
          </cell>
          <cell r="AB4" t="str">
            <v>佐藤穂</v>
          </cell>
          <cell r="AC4" t="str">
            <v>山本</v>
          </cell>
          <cell r="AD4" t="str">
            <v>谷口</v>
          </cell>
          <cell r="AE4" t="str">
            <v>奥</v>
          </cell>
          <cell r="AF4" t="str">
            <v>本田</v>
          </cell>
          <cell r="AG4" t="str">
            <v>齊藤</v>
          </cell>
          <cell r="AH4" t="str">
            <v>大畑</v>
          </cell>
        </row>
        <row r="5">
          <cell r="D5" t="str">
            <v>谷口</v>
          </cell>
          <cell r="E5" t="str">
            <v>谷口</v>
          </cell>
          <cell r="F5" t="str">
            <v/>
          </cell>
          <cell r="G5" t="str">
            <v>阪井田</v>
          </cell>
          <cell r="H5" t="str">
            <v>谷口</v>
          </cell>
          <cell r="I5" t="str">
            <v>阪井田</v>
          </cell>
          <cell r="J5" t="str">
            <v>山下</v>
          </cell>
          <cell r="K5" t="str">
            <v>谷口</v>
          </cell>
          <cell r="L5" t="str">
            <v>谷口</v>
          </cell>
          <cell r="M5" t="str">
            <v>阪井田</v>
          </cell>
          <cell r="N5" t="str">
            <v>阪井田</v>
          </cell>
          <cell r="O5" t="str">
            <v>薬司</v>
          </cell>
          <cell r="P5" t="str">
            <v>阪井田</v>
          </cell>
          <cell r="Q5" t="str">
            <v>山下</v>
          </cell>
          <cell r="R5" t="str">
            <v>阪井田</v>
          </cell>
          <cell r="S5" t="str">
            <v>谷口</v>
          </cell>
          <cell r="T5" t="str">
            <v>谷口</v>
          </cell>
          <cell r="U5" t="str">
            <v>大畑</v>
          </cell>
          <cell r="V5" t="str">
            <v>谷口</v>
          </cell>
          <cell r="W5" t="str">
            <v>山下</v>
          </cell>
          <cell r="X5" t="str">
            <v>山下</v>
          </cell>
          <cell r="Y5" t="str">
            <v>谷口</v>
          </cell>
          <cell r="Z5" t="str">
            <v>大畑</v>
          </cell>
          <cell r="AA5" t="str">
            <v>大畑</v>
          </cell>
          <cell r="AB5" t="str">
            <v>大畑</v>
          </cell>
          <cell r="AC5" t="str">
            <v>大畑</v>
          </cell>
          <cell r="AD5" t="str">
            <v>阪井田</v>
          </cell>
          <cell r="AE5" t="str">
            <v>山下</v>
          </cell>
          <cell r="AF5" t="str">
            <v>大畑</v>
          </cell>
          <cell r="AG5" t="str">
            <v>大畑</v>
          </cell>
          <cell r="AH5" t="str">
            <v>谷口</v>
          </cell>
        </row>
        <row r="6">
          <cell r="D6" t="str">
            <v>阪井田</v>
          </cell>
          <cell r="E6" t="str">
            <v>阪井田</v>
          </cell>
          <cell r="F6" t="str">
            <v/>
          </cell>
          <cell r="G6" t="str">
            <v/>
          </cell>
          <cell r="H6" t="str">
            <v>阪井田</v>
          </cell>
          <cell r="I6" t="str">
            <v>木田</v>
          </cell>
          <cell r="J6" t="str">
            <v>殿田</v>
          </cell>
          <cell r="K6" t="str">
            <v>阪井田</v>
          </cell>
          <cell r="L6" t="str">
            <v>阪井田</v>
          </cell>
          <cell r="M6" t="str">
            <v/>
          </cell>
          <cell r="N6" t="str">
            <v>松木</v>
          </cell>
          <cell r="O6" t="str">
            <v>大畑</v>
          </cell>
          <cell r="P6" t="str">
            <v>木田</v>
          </cell>
          <cell r="Q6" t="str">
            <v>山村</v>
          </cell>
          <cell r="R6" t="str">
            <v/>
          </cell>
          <cell r="S6" t="str">
            <v>阪井田</v>
          </cell>
          <cell r="T6" t="str">
            <v>阪井田</v>
          </cell>
          <cell r="U6" t="str">
            <v>谷口</v>
          </cell>
          <cell r="V6" t="str">
            <v>阪井田</v>
          </cell>
          <cell r="W6" t="str">
            <v>山村</v>
          </cell>
          <cell r="X6" t="str">
            <v>山村</v>
          </cell>
          <cell r="Y6" t="str">
            <v>阪井田</v>
          </cell>
          <cell r="Z6" t="str">
            <v>谷口</v>
          </cell>
          <cell r="AA6" t="str">
            <v>谷口</v>
          </cell>
          <cell r="AB6" t="str">
            <v>谷口</v>
          </cell>
          <cell r="AC6" t="str">
            <v>谷口</v>
          </cell>
          <cell r="AD6" t="str">
            <v>木田</v>
          </cell>
          <cell r="AE6" t="str">
            <v>山村</v>
          </cell>
          <cell r="AF6" t="str">
            <v>谷口</v>
          </cell>
          <cell r="AG6" t="str">
            <v>谷口</v>
          </cell>
          <cell r="AH6" t="str">
            <v>阪井田</v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>森本</v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>谷口</v>
          </cell>
          <cell r="P7" t="str">
            <v/>
          </cell>
          <cell r="Q7" t="str">
            <v>殿田</v>
          </cell>
          <cell r="R7" t="str">
            <v/>
          </cell>
          <cell r="S7" t="str">
            <v/>
          </cell>
          <cell r="T7" t="str">
            <v/>
          </cell>
          <cell r="U7" t="str">
            <v>阪井田</v>
          </cell>
          <cell r="V7" t="str">
            <v/>
          </cell>
          <cell r="W7" t="str">
            <v>殿田</v>
          </cell>
          <cell r="X7" t="str">
            <v>殿田</v>
          </cell>
          <cell r="Y7" t="str">
            <v/>
          </cell>
          <cell r="Z7" t="str">
            <v>阪井田</v>
          </cell>
          <cell r="AA7" t="str">
            <v>阪井田</v>
          </cell>
          <cell r="AB7" t="str">
            <v>阪井田</v>
          </cell>
          <cell r="AC7" t="str">
            <v>阪井田</v>
          </cell>
          <cell r="AD7" t="str">
            <v/>
          </cell>
          <cell r="AE7" t="str">
            <v>殿田</v>
          </cell>
          <cell r="AF7" t="str">
            <v>阪井田</v>
          </cell>
          <cell r="AG7" t="str">
            <v>阪井田</v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>中井</v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>阪井田</v>
          </cell>
          <cell r="P8" t="str">
            <v/>
          </cell>
          <cell r="Q8" t="str">
            <v>森本</v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>森本</v>
          </cell>
          <cell r="X8" t="str">
            <v>森本</v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>森本</v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>北</v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>中井</v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>中井</v>
          </cell>
          <cell r="X9" t="str">
            <v>中井</v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>中井</v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>中村</v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>北</v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>北</v>
          </cell>
          <cell r="X10" t="str">
            <v>北</v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>北</v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印刷用２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44287</v>
          </cell>
          <cell r="E1">
            <v>44288</v>
          </cell>
          <cell r="F1">
            <v>44289</v>
          </cell>
          <cell r="G1">
            <v>44290</v>
          </cell>
          <cell r="H1">
            <v>44291</v>
          </cell>
          <cell r="I1">
            <v>44292</v>
          </cell>
          <cell r="J1">
            <v>44293</v>
          </cell>
          <cell r="K1">
            <v>44294</v>
          </cell>
          <cell r="L1">
            <v>44295</v>
          </cell>
          <cell r="M1">
            <v>44296</v>
          </cell>
          <cell r="N1">
            <v>44297</v>
          </cell>
          <cell r="O1">
            <v>44298</v>
          </cell>
          <cell r="P1">
            <v>44299</v>
          </cell>
          <cell r="Q1">
            <v>44300</v>
          </cell>
          <cell r="R1">
            <v>44301</v>
          </cell>
          <cell r="S1">
            <v>44302</v>
          </cell>
          <cell r="T1">
            <v>44303</v>
          </cell>
          <cell r="U1">
            <v>44304</v>
          </cell>
          <cell r="V1">
            <v>44305</v>
          </cell>
          <cell r="W1">
            <v>44306</v>
          </cell>
          <cell r="X1">
            <v>44307</v>
          </cell>
          <cell r="Y1">
            <v>44308</v>
          </cell>
          <cell r="Z1">
            <v>44309</v>
          </cell>
          <cell r="AA1">
            <v>44310</v>
          </cell>
          <cell r="AB1">
            <v>44311</v>
          </cell>
          <cell r="AC1">
            <v>44312</v>
          </cell>
          <cell r="AD1">
            <v>44313</v>
          </cell>
          <cell r="AE1">
            <v>44314</v>
          </cell>
          <cell r="AF1">
            <v>44315</v>
          </cell>
          <cell r="AG1">
            <v>44316</v>
          </cell>
          <cell r="AH1" t="str">
            <v/>
          </cell>
        </row>
        <row r="2">
          <cell r="D2">
            <v>44287</v>
          </cell>
          <cell r="E2">
            <v>44288</v>
          </cell>
          <cell r="F2">
            <v>44289</v>
          </cell>
          <cell r="G2">
            <v>44290</v>
          </cell>
          <cell r="H2">
            <v>44291</v>
          </cell>
          <cell r="I2">
            <v>44292</v>
          </cell>
          <cell r="J2">
            <v>44293</v>
          </cell>
          <cell r="K2">
            <v>44294</v>
          </cell>
          <cell r="L2">
            <v>44295</v>
          </cell>
          <cell r="M2">
            <v>44296</v>
          </cell>
          <cell r="N2">
            <v>44297</v>
          </cell>
          <cell r="O2">
            <v>44298</v>
          </cell>
          <cell r="P2">
            <v>44299</v>
          </cell>
          <cell r="Q2">
            <v>44300</v>
          </cell>
          <cell r="R2">
            <v>44301</v>
          </cell>
          <cell r="S2">
            <v>44302</v>
          </cell>
          <cell r="T2">
            <v>44303</v>
          </cell>
          <cell r="U2">
            <v>44304</v>
          </cell>
          <cell r="V2">
            <v>44305</v>
          </cell>
          <cell r="W2">
            <v>44306</v>
          </cell>
          <cell r="X2">
            <v>44307</v>
          </cell>
          <cell r="Y2">
            <v>44308</v>
          </cell>
          <cell r="Z2">
            <v>44309</v>
          </cell>
          <cell r="AA2">
            <v>44310</v>
          </cell>
          <cell r="AB2">
            <v>44311</v>
          </cell>
          <cell r="AC2">
            <v>44312</v>
          </cell>
          <cell r="AD2">
            <v>44313</v>
          </cell>
          <cell r="AE2">
            <v>44314</v>
          </cell>
          <cell r="AF2">
            <v>44315</v>
          </cell>
          <cell r="AG2">
            <v>44316</v>
          </cell>
          <cell r="AH2" t="str">
            <v/>
          </cell>
        </row>
        <row r="3">
          <cell r="D3" t="str">
            <v>佐藤恵</v>
          </cell>
          <cell r="E3" t="str">
            <v>澤野</v>
          </cell>
          <cell r="F3" t="str">
            <v>平田恵</v>
          </cell>
          <cell r="G3" t="str">
            <v>大橋</v>
          </cell>
          <cell r="H3" t="str">
            <v>清水</v>
          </cell>
          <cell r="I3" t="str">
            <v>山村</v>
          </cell>
          <cell r="J3" t="str">
            <v>山下</v>
          </cell>
          <cell r="K3" t="str">
            <v>田村</v>
          </cell>
          <cell r="L3" t="str">
            <v>南</v>
          </cell>
          <cell r="M3" t="str">
            <v>長田</v>
          </cell>
          <cell r="N3" t="str">
            <v>本田</v>
          </cell>
          <cell r="O3" t="str">
            <v>清水</v>
          </cell>
          <cell r="P3" t="str">
            <v>大橋</v>
          </cell>
          <cell r="Q3" t="str">
            <v>山本</v>
          </cell>
          <cell r="R3" t="str">
            <v>庵</v>
          </cell>
          <cell r="S3" t="str">
            <v>田村</v>
          </cell>
          <cell r="T3" t="str">
            <v>南</v>
          </cell>
          <cell r="U3" t="str">
            <v>山村</v>
          </cell>
          <cell r="V3" t="str">
            <v>齊藤</v>
          </cell>
          <cell r="W3" t="str">
            <v>西郡</v>
          </cell>
          <cell r="X3" t="str">
            <v>加藤</v>
          </cell>
          <cell r="Y3" t="str">
            <v>中村映</v>
          </cell>
          <cell r="Z3" t="str">
            <v>長田</v>
          </cell>
          <cell r="AA3" t="str">
            <v>澤野</v>
          </cell>
          <cell r="AB3" t="str">
            <v>田村</v>
          </cell>
          <cell r="AC3" t="str">
            <v>山下</v>
          </cell>
          <cell r="AD3" t="str">
            <v>大橋</v>
          </cell>
          <cell r="AE3" t="str">
            <v>長田</v>
          </cell>
          <cell r="AF3" t="str">
            <v>平田恵</v>
          </cell>
          <cell r="AG3" t="str">
            <v>大橋</v>
          </cell>
          <cell r="AH3" t="str">
            <v/>
          </cell>
        </row>
        <row r="4">
          <cell r="D4" t="str">
            <v>諸田</v>
          </cell>
          <cell r="E4" t="str">
            <v>田村</v>
          </cell>
          <cell r="F4" t="str">
            <v>薬司</v>
          </cell>
          <cell r="G4" t="str">
            <v>松木</v>
          </cell>
          <cell r="H4" t="str">
            <v>庵</v>
          </cell>
          <cell r="I4" t="str">
            <v>西郡</v>
          </cell>
          <cell r="J4" t="str">
            <v>中村映</v>
          </cell>
          <cell r="K4" t="str">
            <v>齊藤</v>
          </cell>
          <cell r="L4" t="str">
            <v>加藤</v>
          </cell>
          <cell r="M4" t="str">
            <v>龍野</v>
          </cell>
          <cell r="N4" t="str">
            <v>西郡</v>
          </cell>
          <cell r="O4" t="str">
            <v>佐藤穂</v>
          </cell>
          <cell r="P4" t="str">
            <v>山田</v>
          </cell>
          <cell r="Q4" t="str">
            <v>加藤</v>
          </cell>
          <cell r="R4" t="str">
            <v>佐藤恵</v>
          </cell>
          <cell r="S4" t="str">
            <v>松木</v>
          </cell>
          <cell r="T4" t="str">
            <v>龍野</v>
          </cell>
          <cell r="U4" t="str">
            <v>中村映</v>
          </cell>
          <cell r="V4" t="str">
            <v>佐藤恵</v>
          </cell>
          <cell r="W4" t="str">
            <v>諸田</v>
          </cell>
          <cell r="X4" t="str">
            <v>佐藤穂</v>
          </cell>
          <cell r="Y4" t="str">
            <v>本田</v>
          </cell>
          <cell r="Z4" t="str">
            <v>山本</v>
          </cell>
          <cell r="AA4" t="str">
            <v>松木</v>
          </cell>
          <cell r="AB4" t="str">
            <v>薬司</v>
          </cell>
          <cell r="AC4" t="str">
            <v>西郡</v>
          </cell>
          <cell r="AD4" t="str">
            <v>龍野</v>
          </cell>
          <cell r="AE4" t="str">
            <v>諸田</v>
          </cell>
          <cell r="AF4" t="str">
            <v>佐藤恵</v>
          </cell>
          <cell r="AG4" t="str">
            <v>庵</v>
          </cell>
          <cell r="AH4" t="str">
            <v/>
          </cell>
        </row>
      </sheetData>
      <sheetData sheetId="9">
        <row r="1">
          <cell r="D1">
            <v>44287</v>
          </cell>
          <cell r="E1">
            <v>44288</v>
          </cell>
          <cell r="F1">
            <v>44289</v>
          </cell>
          <cell r="G1">
            <v>44290</v>
          </cell>
          <cell r="H1">
            <v>44291</v>
          </cell>
          <cell r="I1">
            <v>44292</v>
          </cell>
          <cell r="J1">
            <v>44293</v>
          </cell>
          <cell r="K1">
            <v>44294</v>
          </cell>
          <cell r="L1">
            <v>44295</v>
          </cell>
          <cell r="M1">
            <v>44296</v>
          </cell>
          <cell r="N1">
            <v>44297</v>
          </cell>
          <cell r="O1">
            <v>44298</v>
          </cell>
          <cell r="P1">
            <v>44299</v>
          </cell>
          <cell r="Q1">
            <v>44300</v>
          </cell>
          <cell r="R1">
            <v>44301</v>
          </cell>
          <cell r="S1">
            <v>44302</v>
          </cell>
          <cell r="T1">
            <v>44303</v>
          </cell>
          <cell r="U1">
            <v>44304</v>
          </cell>
          <cell r="V1">
            <v>44305</v>
          </cell>
          <cell r="W1">
            <v>44306</v>
          </cell>
          <cell r="X1">
            <v>44307</v>
          </cell>
          <cell r="Y1">
            <v>44308</v>
          </cell>
          <cell r="Z1">
            <v>44309</v>
          </cell>
          <cell r="AA1">
            <v>44310</v>
          </cell>
          <cell r="AB1">
            <v>44311</v>
          </cell>
          <cell r="AC1">
            <v>44312</v>
          </cell>
          <cell r="AD1">
            <v>44313</v>
          </cell>
          <cell r="AE1">
            <v>44314</v>
          </cell>
          <cell r="AF1">
            <v>44315</v>
          </cell>
          <cell r="AG1">
            <v>44316</v>
          </cell>
          <cell r="AH1" t="str">
            <v/>
          </cell>
        </row>
        <row r="2">
          <cell r="D2">
            <v>44287</v>
          </cell>
          <cell r="E2">
            <v>44288</v>
          </cell>
          <cell r="F2">
            <v>44289</v>
          </cell>
          <cell r="G2">
            <v>44290</v>
          </cell>
          <cell r="H2">
            <v>44291</v>
          </cell>
          <cell r="I2">
            <v>44292</v>
          </cell>
          <cell r="J2">
            <v>44293</v>
          </cell>
          <cell r="K2">
            <v>44294</v>
          </cell>
          <cell r="L2">
            <v>44295</v>
          </cell>
          <cell r="M2">
            <v>44296</v>
          </cell>
          <cell r="N2">
            <v>44297</v>
          </cell>
          <cell r="O2">
            <v>44298</v>
          </cell>
          <cell r="P2">
            <v>44299</v>
          </cell>
          <cell r="Q2">
            <v>44300</v>
          </cell>
          <cell r="R2">
            <v>44301</v>
          </cell>
          <cell r="S2">
            <v>44302</v>
          </cell>
          <cell r="T2">
            <v>44303</v>
          </cell>
          <cell r="U2">
            <v>44304</v>
          </cell>
          <cell r="V2">
            <v>44305</v>
          </cell>
          <cell r="W2">
            <v>44306</v>
          </cell>
          <cell r="X2">
            <v>44307</v>
          </cell>
          <cell r="Y2">
            <v>44308</v>
          </cell>
          <cell r="Z2">
            <v>44309</v>
          </cell>
          <cell r="AA2">
            <v>44310</v>
          </cell>
          <cell r="AB2">
            <v>44311</v>
          </cell>
          <cell r="AC2">
            <v>44312</v>
          </cell>
          <cell r="AD2">
            <v>44313</v>
          </cell>
          <cell r="AE2">
            <v>44314</v>
          </cell>
          <cell r="AF2">
            <v>44315</v>
          </cell>
          <cell r="AG2">
            <v>44316</v>
          </cell>
          <cell r="AH2" t="str">
            <v/>
          </cell>
        </row>
        <row r="3">
          <cell r="D3" t="str">
            <v>平田真</v>
          </cell>
          <cell r="E3" t="str">
            <v>佐藤穂</v>
          </cell>
          <cell r="F3" t="str">
            <v>木田</v>
          </cell>
          <cell r="G3" t="str">
            <v>宮崎</v>
          </cell>
          <cell r="H3" t="str">
            <v>大橋</v>
          </cell>
          <cell r="I3" t="str">
            <v>清水</v>
          </cell>
          <cell r="J3" t="str">
            <v>山村</v>
          </cell>
          <cell r="K3" t="str">
            <v>庵</v>
          </cell>
          <cell r="L3" t="str">
            <v>大橋</v>
          </cell>
          <cell r="M3" t="str">
            <v>木田</v>
          </cell>
          <cell r="N3" t="str">
            <v>宮崎</v>
          </cell>
          <cell r="O3" t="str">
            <v>本田</v>
          </cell>
          <cell r="P3" t="str">
            <v>龍野</v>
          </cell>
          <cell r="Q3" t="str">
            <v>佐藤穂</v>
          </cell>
          <cell r="R3" t="str">
            <v>長田</v>
          </cell>
          <cell r="S3" t="str">
            <v>平田恵</v>
          </cell>
          <cell r="T3" t="str">
            <v>木田</v>
          </cell>
          <cell r="U3" t="str">
            <v>宮崎</v>
          </cell>
          <cell r="V3" t="str">
            <v>山村</v>
          </cell>
          <cell r="W3" t="str">
            <v>平田真</v>
          </cell>
          <cell r="X3" t="str">
            <v>齊藤</v>
          </cell>
          <cell r="Y3" t="str">
            <v>南</v>
          </cell>
          <cell r="Z3" t="str">
            <v>山下</v>
          </cell>
          <cell r="AA3" t="str">
            <v>木田</v>
          </cell>
          <cell r="AB3" t="str">
            <v>宮崎</v>
          </cell>
          <cell r="AC3" t="str">
            <v>山田</v>
          </cell>
          <cell r="AD3" t="str">
            <v>薬司</v>
          </cell>
          <cell r="AE3" t="str">
            <v>澤野</v>
          </cell>
          <cell r="AF3" t="str">
            <v>宮崎</v>
          </cell>
          <cell r="AG3" t="str">
            <v>平田真</v>
          </cell>
          <cell r="AH3" t="str">
            <v/>
          </cell>
        </row>
        <row r="4">
          <cell r="D4" t="str">
            <v/>
          </cell>
          <cell r="E4" t="str">
            <v/>
          </cell>
          <cell r="F4" t="str">
            <v/>
          </cell>
          <cell r="G4" t="str">
            <v>山下</v>
          </cell>
          <cell r="H4" t="str">
            <v>松木</v>
          </cell>
          <cell r="I4" t="str">
            <v>薬司</v>
          </cell>
          <cell r="J4" t="str">
            <v>平田恵</v>
          </cell>
          <cell r="K4" t="str">
            <v/>
          </cell>
          <cell r="L4" t="str">
            <v>佐藤穂</v>
          </cell>
          <cell r="M4" t="str">
            <v/>
          </cell>
          <cell r="N4" t="str">
            <v>山下</v>
          </cell>
          <cell r="O4" t="str">
            <v/>
          </cell>
          <cell r="P4" t="str">
            <v>西郡</v>
          </cell>
          <cell r="Q4" t="str">
            <v/>
          </cell>
          <cell r="R4" t="str">
            <v>清水</v>
          </cell>
          <cell r="S4" t="str">
            <v/>
          </cell>
          <cell r="T4" t="str">
            <v/>
          </cell>
          <cell r="U4" t="str">
            <v>山下</v>
          </cell>
          <cell r="V4" t="str">
            <v>中村映</v>
          </cell>
          <cell r="W4" t="str">
            <v>本田</v>
          </cell>
          <cell r="X4" t="str">
            <v/>
          </cell>
          <cell r="Y4" t="str">
            <v>庵</v>
          </cell>
          <cell r="Z4" t="str">
            <v>佐藤恵</v>
          </cell>
          <cell r="AA4" t="str">
            <v/>
          </cell>
          <cell r="AB4" t="str">
            <v>山村</v>
          </cell>
          <cell r="AC4" t="str">
            <v>田村</v>
          </cell>
          <cell r="AD4" t="str">
            <v>西郡</v>
          </cell>
          <cell r="AE4" t="str">
            <v>龍野</v>
          </cell>
          <cell r="AF4" t="str">
            <v>山下</v>
          </cell>
          <cell r="AG4" t="str">
            <v>佐藤恵</v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>山村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>平田恵</v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>平田恵</v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>平田恵</v>
          </cell>
          <cell r="AC5" t="str">
            <v/>
          </cell>
          <cell r="AD5" t="str">
            <v>松木</v>
          </cell>
          <cell r="AE5" t="str">
            <v/>
          </cell>
          <cell r="AF5" t="str">
            <v>山村</v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>平田恵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>長田</v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>長田</v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>長田</v>
          </cell>
          <cell r="AC6" t="str">
            <v/>
          </cell>
          <cell r="AD6" t="str">
            <v/>
          </cell>
          <cell r="AE6" t="str">
            <v/>
          </cell>
          <cell r="AF6" t="str">
            <v>長田</v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>長田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>中井</v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>中井</v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>中井</v>
          </cell>
          <cell r="AC7" t="str">
            <v/>
          </cell>
          <cell r="AD7" t="str">
            <v/>
          </cell>
          <cell r="AE7" t="str">
            <v/>
          </cell>
          <cell r="AF7" t="str">
            <v>中井</v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>中井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>北</v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>北</v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>北</v>
          </cell>
          <cell r="AC8" t="str">
            <v/>
          </cell>
          <cell r="AD8" t="str">
            <v/>
          </cell>
          <cell r="AE8" t="str">
            <v/>
          </cell>
          <cell r="AF8" t="str">
            <v>北</v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>北</v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>中村映</v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>大橋</v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>中村映</v>
          </cell>
          <cell r="AC9" t="str">
            <v/>
          </cell>
          <cell r="AD9" t="str">
            <v/>
          </cell>
          <cell r="AE9" t="str">
            <v/>
          </cell>
          <cell r="AF9" t="str">
            <v>中村映</v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>中村映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>平田真</v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>山本</v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>平田真</v>
          </cell>
          <cell r="AC10" t="str">
            <v/>
          </cell>
          <cell r="AD10" t="str">
            <v/>
          </cell>
          <cell r="AE10" t="str">
            <v/>
          </cell>
          <cell r="AF10" t="str">
            <v>山本</v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>
        <row r="3">
          <cell r="A3">
            <v>1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44317</v>
          </cell>
          <cell r="E1">
            <v>44318</v>
          </cell>
          <cell r="F1">
            <v>44319</v>
          </cell>
          <cell r="G1">
            <v>44320</v>
          </cell>
          <cell r="H1">
            <v>44321</v>
          </cell>
          <cell r="I1">
            <v>44322</v>
          </cell>
          <cell r="J1">
            <v>44323</v>
          </cell>
          <cell r="K1">
            <v>44324</v>
          </cell>
          <cell r="L1">
            <v>44325</v>
          </cell>
          <cell r="M1">
            <v>44326</v>
          </cell>
          <cell r="N1">
            <v>44327</v>
          </cell>
          <cell r="O1">
            <v>44328</v>
          </cell>
          <cell r="P1">
            <v>44329</v>
          </cell>
          <cell r="Q1">
            <v>44330</v>
          </cell>
          <cell r="R1">
            <v>44331</v>
          </cell>
          <cell r="S1">
            <v>44332</v>
          </cell>
          <cell r="T1">
            <v>44333</v>
          </cell>
          <cell r="U1">
            <v>44334</v>
          </cell>
          <cell r="V1">
            <v>44335</v>
          </cell>
          <cell r="W1">
            <v>44336</v>
          </cell>
          <cell r="X1">
            <v>44337</v>
          </cell>
          <cell r="Y1">
            <v>44338</v>
          </cell>
          <cell r="Z1">
            <v>44339</v>
          </cell>
          <cell r="AA1">
            <v>44340</v>
          </cell>
          <cell r="AB1">
            <v>44341</v>
          </cell>
          <cell r="AC1">
            <v>44342</v>
          </cell>
          <cell r="AD1">
            <v>44343</v>
          </cell>
          <cell r="AE1">
            <v>44344</v>
          </cell>
          <cell r="AF1">
            <v>44345</v>
          </cell>
          <cell r="AG1">
            <v>44346</v>
          </cell>
          <cell r="AH1">
            <v>44347</v>
          </cell>
        </row>
        <row r="2">
          <cell r="D2">
            <v>44317</v>
          </cell>
          <cell r="E2">
            <v>44318</v>
          </cell>
          <cell r="F2">
            <v>44319</v>
          </cell>
          <cell r="G2">
            <v>44320</v>
          </cell>
          <cell r="H2">
            <v>44321</v>
          </cell>
          <cell r="I2">
            <v>44322</v>
          </cell>
          <cell r="J2">
            <v>44323</v>
          </cell>
          <cell r="K2">
            <v>44324</v>
          </cell>
          <cell r="L2">
            <v>44325</v>
          </cell>
          <cell r="M2">
            <v>44326</v>
          </cell>
          <cell r="N2">
            <v>44327</v>
          </cell>
          <cell r="O2">
            <v>44328</v>
          </cell>
          <cell r="P2">
            <v>44329</v>
          </cell>
          <cell r="Q2">
            <v>44330</v>
          </cell>
          <cell r="R2">
            <v>44331</v>
          </cell>
          <cell r="S2">
            <v>44332</v>
          </cell>
          <cell r="T2">
            <v>44333</v>
          </cell>
          <cell r="U2">
            <v>44334</v>
          </cell>
          <cell r="V2">
            <v>44335</v>
          </cell>
          <cell r="W2">
            <v>44336</v>
          </cell>
          <cell r="X2">
            <v>44337</v>
          </cell>
          <cell r="Y2">
            <v>44338</v>
          </cell>
          <cell r="Z2">
            <v>44339</v>
          </cell>
          <cell r="AA2">
            <v>44340</v>
          </cell>
          <cell r="AB2">
            <v>44341</v>
          </cell>
          <cell r="AC2">
            <v>44342</v>
          </cell>
          <cell r="AD2">
            <v>44343</v>
          </cell>
          <cell r="AE2">
            <v>44344</v>
          </cell>
          <cell r="AF2">
            <v>44345</v>
          </cell>
          <cell r="AG2">
            <v>44346</v>
          </cell>
          <cell r="AH2">
            <v>44347</v>
          </cell>
        </row>
        <row r="3">
          <cell r="D3" t="str">
            <v>山田</v>
          </cell>
          <cell r="E3" t="str">
            <v>加藤</v>
          </cell>
          <cell r="F3" t="str">
            <v>長田</v>
          </cell>
          <cell r="G3" t="str">
            <v>清水</v>
          </cell>
          <cell r="H3" t="str">
            <v>平田恵</v>
          </cell>
          <cell r="I3" t="str">
            <v>中村映</v>
          </cell>
          <cell r="J3" t="str">
            <v>田村</v>
          </cell>
          <cell r="K3" t="str">
            <v>澤野</v>
          </cell>
          <cell r="L3" t="str">
            <v>山下</v>
          </cell>
          <cell r="M3" t="str">
            <v>西郡</v>
          </cell>
          <cell r="N3" t="str">
            <v>山本</v>
          </cell>
          <cell r="O3" t="str">
            <v>大橋</v>
          </cell>
          <cell r="P3" t="str">
            <v>長田</v>
          </cell>
          <cell r="Q3" t="str">
            <v>山村</v>
          </cell>
          <cell r="R3" t="str">
            <v>田村</v>
          </cell>
          <cell r="S3" t="str">
            <v>大橋</v>
          </cell>
          <cell r="T3" t="str">
            <v>佐藤恵</v>
          </cell>
          <cell r="U3" t="str">
            <v>平田恵</v>
          </cell>
          <cell r="V3" t="str">
            <v>加藤</v>
          </cell>
          <cell r="W3" t="str">
            <v>南</v>
          </cell>
          <cell r="X3" t="str">
            <v>山村</v>
          </cell>
          <cell r="Y3" t="str">
            <v>大橋</v>
          </cell>
          <cell r="Z3" t="str">
            <v>薬司</v>
          </cell>
          <cell r="AA3" t="str">
            <v>清水</v>
          </cell>
          <cell r="AB3" t="str">
            <v>長田</v>
          </cell>
          <cell r="AC3" t="str">
            <v>庵</v>
          </cell>
          <cell r="AD3" t="str">
            <v>大橋</v>
          </cell>
          <cell r="AE3" t="str">
            <v>山下</v>
          </cell>
          <cell r="AF3" t="str">
            <v>山田</v>
          </cell>
          <cell r="AG3" t="str">
            <v>齊藤</v>
          </cell>
          <cell r="AH3" t="str">
            <v>山本</v>
          </cell>
        </row>
        <row r="4">
          <cell r="D4" t="str">
            <v>佐藤穂</v>
          </cell>
          <cell r="E4" t="str">
            <v>松木</v>
          </cell>
          <cell r="F4" t="str">
            <v>庵</v>
          </cell>
          <cell r="G4" t="str">
            <v>齊藤</v>
          </cell>
          <cell r="H4" t="str">
            <v>大橋</v>
          </cell>
          <cell r="I4" t="str">
            <v>南</v>
          </cell>
          <cell r="J4" t="str">
            <v>本田</v>
          </cell>
          <cell r="K4" t="str">
            <v>諸田</v>
          </cell>
          <cell r="L4" t="str">
            <v>佐藤恵</v>
          </cell>
          <cell r="M4" t="str">
            <v>松木</v>
          </cell>
          <cell r="N4" t="str">
            <v>加藤</v>
          </cell>
          <cell r="O4" t="str">
            <v>山田</v>
          </cell>
          <cell r="P4" t="str">
            <v>薬司</v>
          </cell>
          <cell r="Q4" t="str">
            <v>清水</v>
          </cell>
          <cell r="R4" t="str">
            <v>本田</v>
          </cell>
          <cell r="S4" t="str">
            <v>諸田</v>
          </cell>
          <cell r="T4" t="str">
            <v>龍野</v>
          </cell>
          <cell r="U4" t="str">
            <v>庵</v>
          </cell>
          <cell r="V4" t="str">
            <v>佐藤穂</v>
          </cell>
          <cell r="W4" t="str">
            <v>西郡</v>
          </cell>
          <cell r="X4" t="str">
            <v>中村映</v>
          </cell>
          <cell r="Y4" t="str">
            <v>松木</v>
          </cell>
          <cell r="Z4" t="str">
            <v>西郡</v>
          </cell>
          <cell r="AA4" t="str">
            <v>本田</v>
          </cell>
          <cell r="AB4" t="str">
            <v>龍野</v>
          </cell>
          <cell r="AC4" t="str">
            <v>佐藤恵</v>
          </cell>
          <cell r="AD4" t="str">
            <v>澤野</v>
          </cell>
          <cell r="AE4" t="str">
            <v>西郡</v>
          </cell>
          <cell r="AF4" t="str">
            <v>佐藤穂</v>
          </cell>
          <cell r="AG4" t="str">
            <v>加藤</v>
          </cell>
          <cell r="AH4" t="str">
            <v>田村</v>
          </cell>
        </row>
      </sheetData>
      <sheetData sheetId="9">
        <row r="1">
          <cell r="D1">
            <v>44317</v>
          </cell>
          <cell r="E1">
            <v>44318</v>
          </cell>
          <cell r="F1">
            <v>44319</v>
          </cell>
          <cell r="G1">
            <v>44320</v>
          </cell>
          <cell r="H1">
            <v>44321</v>
          </cell>
          <cell r="I1">
            <v>44322</v>
          </cell>
          <cell r="J1">
            <v>44323</v>
          </cell>
          <cell r="K1">
            <v>44324</v>
          </cell>
          <cell r="L1">
            <v>44325</v>
          </cell>
          <cell r="M1">
            <v>44326</v>
          </cell>
          <cell r="N1">
            <v>44327</v>
          </cell>
          <cell r="O1">
            <v>44328</v>
          </cell>
          <cell r="P1">
            <v>44329</v>
          </cell>
          <cell r="Q1">
            <v>44330</v>
          </cell>
          <cell r="R1">
            <v>44331</v>
          </cell>
          <cell r="S1">
            <v>44332</v>
          </cell>
          <cell r="T1">
            <v>44333</v>
          </cell>
          <cell r="U1">
            <v>44334</v>
          </cell>
          <cell r="V1">
            <v>44335</v>
          </cell>
          <cell r="W1">
            <v>44336</v>
          </cell>
          <cell r="X1">
            <v>44337</v>
          </cell>
          <cell r="Y1">
            <v>44338</v>
          </cell>
          <cell r="Z1">
            <v>44339</v>
          </cell>
          <cell r="AA1">
            <v>44340</v>
          </cell>
          <cell r="AB1">
            <v>44341</v>
          </cell>
          <cell r="AC1">
            <v>44342</v>
          </cell>
          <cell r="AD1">
            <v>44343</v>
          </cell>
          <cell r="AE1">
            <v>44344</v>
          </cell>
          <cell r="AF1">
            <v>44345</v>
          </cell>
          <cell r="AG1">
            <v>44346</v>
          </cell>
          <cell r="AH1">
            <v>44347</v>
          </cell>
        </row>
        <row r="2">
          <cell r="D2">
            <v>44317</v>
          </cell>
          <cell r="E2">
            <v>44318</v>
          </cell>
          <cell r="F2">
            <v>44319</v>
          </cell>
          <cell r="G2">
            <v>44320</v>
          </cell>
          <cell r="H2">
            <v>44321</v>
          </cell>
          <cell r="I2">
            <v>44322</v>
          </cell>
          <cell r="J2">
            <v>44323</v>
          </cell>
          <cell r="K2">
            <v>44324</v>
          </cell>
          <cell r="L2">
            <v>44325</v>
          </cell>
          <cell r="M2">
            <v>44326</v>
          </cell>
          <cell r="N2">
            <v>44327</v>
          </cell>
          <cell r="O2">
            <v>44328</v>
          </cell>
          <cell r="P2">
            <v>44329</v>
          </cell>
          <cell r="Q2">
            <v>44330</v>
          </cell>
          <cell r="R2">
            <v>44331</v>
          </cell>
          <cell r="S2">
            <v>44332</v>
          </cell>
          <cell r="T2">
            <v>44333</v>
          </cell>
          <cell r="U2">
            <v>44334</v>
          </cell>
          <cell r="V2">
            <v>44335</v>
          </cell>
          <cell r="W2">
            <v>44336</v>
          </cell>
          <cell r="X2">
            <v>44337</v>
          </cell>
          <cell r="Y2">
            <v>44338</v>
          </cell>
          <cell r="Z2">
            <v>44339</v>
          </cell>
          <cell r="AA2">
            <v>44340</v>
          </cell>
          <cell r="AB2">
            <v>44341</v>
          </cell>
          <cell r="AC2">
            <v>44342</v>
          </cell>
          <cell r="AD2">
            <v>44343</v>
          </cell>
          <cell r="AE2">
            <v>44344</v>
          </cell>
          <cell r="AF2">
            <v>44345</v>
          </cell>
          <cell r="AG2">
            <v>44346</v>
          </cell>
          <cell r="AH2">
            <v>44347</v>
          </cell>
        </row>
        <row r="3">
          <cell r="D3" t="str">
            <v>木田</v>
          </cell>
          <cell r="E3" t="str">
            <v>宮崎</v>
          </cell>
          <cell r="F3" t="str">
            <v>宮崎</v>
          </cell>
          <cell r="G3" t="str">
            <v>宮崎</v>
          </cell>
          <cell r="H3" t="str">
            <v>宮崎</v>
          </cell>
          <cell r="I3" t="str">
            <v>庵</v>
          </cell>
          <cell r="J3" t="str">
            <v>長田</v>
          </cell>
          <cell r="K3" t="str">
            <v>木田</v>
          </cell>
          <cell r="L3" t="str">
            <v>宮崎</v>
          </cell>
          <cell r="M3" t="str">
            <v>山下</v>
          </cell>
          <cell r="N3" t="str">
            <v>清水</v>
          </cell>
          <cell r="O3" t="str">
            <v>澤野</v>
          </cell>
          <cell r="P3" t="str">
            <v>中村映</v>
          </cell>
          <cell r="Q3" t="str">
            <v>平田恵</v>
          </cell>
          <cell r="R3" t="str">
            <v>木田</v>
          </cell>
          <cell r="S3" t="str">
            <v>宮崎</v>
          </cell>
          <cell r="T3" t="str">
            <v>山村</v>
          </cell>
          <cell r="U3" t="str">
            <v>山本</v>
          </cell>
          <cell r="V3" t="str">
            <v>平田恵</v>
          </cell>
          <cell r="W3" t="str">
            <v>大橋</v>
          </cell>
          <cell r="X3" t="str">
            <v>南</v>
          </cell>
          <cell r="Y3" t="str">
            <v>木田</v>
          </cell>
          <cell r="Z3" t="str">
            <v>宮崎</v>
          </cell>
          <cell r="AA3" t="str">
            <v>大橋</v>
          </cell>
          <cell r="AB3" t="str">
            <v>清水</v>
          </cell>
          <cell r="AC3" t="str">
            <v>長田</v>
          </cell>
          <cell r="AD3" t="str">
            <v>山本</v>
          </cell>
          <cell r="AE3" t="str">
            <v>平田恵</v>
          </cell>
          <cell r="AF3" t="str">
            <v>木田</v>
          </cell>
          <cell r="AG3" t="str">
            <v>宮崎</v>
          </cell>
          <cell r="AH3" t="str">
            <v>齊藤</v>
          </cell>
        </row>
        <row r="4">
          <cell r="D4" t="str">
            <v/>
          </cell>
          <cell r="E4" t="str">
            <v>山下</v>
          </cell>
          <cell r="F4" t="str">
            <v>山下</v>
          </cell>
          <cell r="G4" t="str">
            <v>山下</v>
          </cell>
          <cell r="H4" t="str">
            <v>山下</v>
          </cell>
          <cell r="I4" t="str">
            <v>薬司</v>
          </cell>
          <cell r="J4" t="str">
            <v>大橋</v>
          </cell>
          <cell r="K4" t="str">
            <v/>
          </cell>
          <cell r="L4" t="str">
            <v>平田恵</v>
          </cell>
          <cell r="M4" t="str">
            <v>田村</v>
          </cell>
          <cell r="N4" t="str">
            <v>西郡</v>
          </cell>
          <cell r="O4" t="str">
            <v>松木</v>
          </cell>
          <cell r="P4" t="str">
            <v>齊藤</v>
          </cell>
          <cell r="Q4" t="str">
            <v>大橋</v>
          </cell>
          <cell r="R4" t="str">
            <v/>
          </cell>
          <cell r="S4" t="str">
            <v>山下</v>
          </cell>
          <cell r="T4" t="str">
            <v>大橋</v>
          </cell>
          <cell r="U4" t="str">
            <v>佐藤恵</v>
          </cell>
          <cell r="V4" t="str">
            <v>澤野</v>
          </cell>
          <cell r="W4" t="str">
            <v>清水</v>
          </cell>
          <cell r="X4" t="str">
            <v>本田</v>
          </cell>
          <cell r="Y4" t="str">
            <v/>
          </cell>
          <cell r="Z4" t="str">
            <v>山下</v>
          </cell>
          <cell r="AA4" t="str">
            <v>薬司</v>
          </cell>
          <cell r="AB4" t="str">
            <v>加藤</v>
          </cell>
          <cell r="AC4" t="str">
            <v>平田真</v>
          </cell>
          <cell r="AD4" t="str">
            <v>山田</v>
          </cell>
          <cell r="AE4" t="str">
            <v>田村</v>
          </cell>
          <cell r="AF4" t="str">
            <v/>
          </cell>
          <cell r="AG4" t="str">
            <v>山下</v>
          </cell>
          <cell r="AH4" t="str">
            <v>加藤</v>
          </cell>
        </row>
        <row r="5">
          <cell r="D5" t="str">
            <v/>
          </cell>
          <cell r="E5" t="str">
            <v>山村</v>
          </cell>
          <cell r="F5" t="str">
            <v>山村</v>
          </cell>
          <cell r="G5" t="str">
            <v>山村</v>
          </cell>
          <cell r="H5" t="str">
            <v>山村</v>
          </cell>
          <cell r="I5" t="str">
            <v/>
          </cell>
          <cell r="J5" t="str">
            <v>齊藤</v>
          </cell>
          <cell r="K5" t="str">
            <v/>
          </cell>
          <cell r="L5" t="str">
            <v>長田</v>
          </cell>
          <cell r="M5" t="str">
            <v>佐藤恵</v>
          </cell>
          <cell r="N5" t="str">
            <v/>
          </cell>
          <cell r="O5" t="str">
            <v/>
          </cell>
          <cell r="P5" t="str">
            <v>諸田</v>
          </cell>
          <cell r="Q5" t="str">
            <v/>
          </cell>
          <cell r="R5" t="str">
            <v/>
          </cell>
          <cell r="S5" t="str">
            <v>山村</v>
          </cell>
          <cell r="T5" t="str">
            <v>諸田</v>
          </cell>
          <cell r="U5" t="str">
            <v>龍野</v>
          </cell>
          <cell r="V5" t="str">
            <v>龍野</v>
          </cell>
          <cell r="W5" t="str">
            <v>松木</v>
          </cell>
          <cell r="X5" t="str">
            <v/>
          </cell>
          <cell r="Y5" t="str">
            <v/>
          </cell>
          <cell r="Z5" t="str">
            <v>山村</v>
          </cell>
          <cell r="AA5" t="str">
            <v>西郡</v>
          </cell>
          <cell r="AB5" t="str">
            <v>本田</v>
          </cell>
          <cell r="AC5" t="str">
            <v/>
          </cell>
          <cell r="AD5" t="str">
            <v>松木</v>
          </cell>
          <cell r="AE5" t="str">
            <v>庵</v>
          </cell>
          <cell r="AF5" t="str">
            <v/>
          </cell>
          <cell r="AG5" t="str">
            <v>山村</v>
          </cell>
          <cell r="AH5" t="str">
            <v>佐藤穂</v>
          </cell>
        </row>
        <row r="6">
          <cell r="D6" t="str">
            <v/>
          </cell>
          <cell r="E6" t="str">
            <v>平田恵</v>
          </cell>
          <cell r="F6" t="str">
            <v>平田恵</v>
          </cell>
          <cell r="G6" t="str">
            <v>長田</v>
          </cell>
          <cell r="H6" t="str">
            <v>長田</v>
          </cell>
          <cell r="I6" t="str">
            <v/>
          </cell>
          <cell r="J6" t="str">
            <v/>
          </cell>
          <cell r="K6" t="str">
            <v/>
          </cell>
          <cell r="L6" t="str">
            <v>中井</v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>平田恵</v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>平田恵</v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>長田</v>
          </cell>
          <cell r="AH6" t="str">
            <v/>
          </cell>
        </row>
        <row r="7">
          <cell r="D7" t="str">
            <v/>
          </cell>
          <cell r="E7" t="str">
            <v>中井</v>
          </cell>
          <cell r="F7" t="str">
            <v>中井</v>
          </cell>
          <cell r="G7" t="str">
            <v>中井</v>
          </cell>
          <cell r="H7" t="str">
            <v>中井</v>
          </cell>
          <cell r="I7" t="str">
            <v/>
          </cell>
          <cell r="J7" t="str">
            <v/>
          </cell>
          <cell r="K7" t="str">
            <v/>
          </cell>
          <cell r="L7" t="str">
            <v>北</v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>長田</v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>長田</v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>中井</v>
          </cell>
          <cell r="AH7" t="str">
            <v/>
          </cell>
        </row>
        <row r="8">
          <cell r="D8" t="str">
            <v/>
          </cell>
          <cell r="E8" t="str">
            <v>北</v>
          </cell>
          <cell r="F8" t="str">
            <v>北</v>
          </cell>
          <cell r="G8" t="str">
            <v>北</v>
          </cell>
          <cell r="H8" t="str">
            <v>北</v>
          </cell>
          <cell r="I8" t="str">
            <v/>
          </cell>
          <cell r="J8" t="str">
            <v/>
          </cell>
          <cell r="K8" t="str">
            <v/>
          </cell>
          <cell r="L8" t="str">
            <v>中村映</v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>中井</v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>中井</v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>北</v>
          </cell>
          <cell r="AH8" t="str">
            <v/>
          </cell>
        </row>
        <row r="9">
          <cell r="D9" t="str">
            <v/>
          </cell>
          <cell r="E9" t="str">
            <v>中村映</v>
          </cell>
          <cell r="F9" t="str">
            <v>中村映</v>
          </cell>
          <cell r="G9" t="str">
            <v>中村映</v>
          </cell>
          <cell r="H9" t="str">
            <v>平田真</v>
          </cell>
          <cell r="I9" t="str">
            <v/>
          </cell>
          <cell r="J9" t="str">
            <v/>
          </cell>
          <cell r="K9" t="str">
            <v/>
          </cell>
          <cell r="L9" t="str">
            <v>平田真</v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>北</v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>北</v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>中村映</v>
          </cell>
          <cell r="AH9" t="str">
            <v/>
          </cell>
        </row>
        <row r="10">
          <cell r="D10" t="str">
            <v/>
          </cell>
          <cell r="E10" t="str">
            <v>平田真</v>
          </cell>
          <cell r="F10" t="str">
            <v>平田真</v>
          </cell>
          <cell r="G10" t="str">
            <v>平田真</v>
          </cell>
          <cell r="H10" t="str">
            <v>山本</v>
          </cell>
          <cell r="I10" t="str">
            <v/>
          </cell>
          <cell r="J10" t="str">
            <v/>
          </cell>
          <cell r="K10" t="str">
            <v/>
          </cell>
          <cell r="L10" t="str">
            <v>大橋</v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>中村映</v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>中村映</v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>平田真</v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44348</v>
          </cell>
          <cell r="E1">
            <v>44349</v>
          </cell>
          <cell r="F1">
            <v>44350</v>
          </cell>
          <cell r="G1">
            <v>44351</v>
          </cell>
          <cell r="H1">
            <v>44352</v>
          </cell>
          <cell r="I1">
            <v>44353</v>
          </cell>
          <cell r="J1">
            <v>44354</v>
          </cell>
          <cell r="K1">
            <v>44355</v>
          </cell>
          <cell r="L1">
            <v>44356</v>
          </cell>
          <cell r="M1">
            <v>44357</v>
          </cell>
          <cell r="N1">
            <v>44358</v>
          </cell>
          <cell r="O1">
            <v>44359</v>
          </cell>
          <cell r="P1">
            <v>44360</v>
          </cell>
          <cell r="Q1">
            <v>44361</v>
          </cell>
          <cell r="R1">
            <v>44362</v>
          </cell>
          <cell r="S1">
            <v>44363</v>
          </cell>
          <cell r="T1">
            <v>44364</v>
          </cell>
          <cell r="U1">
            <v>44365</v>
          </cell>
          <cell r="V1">
            <v>44366</v>
          </cell>
          <cell r="W1">
            <v>44367</v>
          </cell>
          <cell r="X1">
            <v>44368</v>
          </cell>
          <cell r="Y1">
            <v>44369</v>
          </cell>
          <cell r="Z1">
            <v>44370</v>
          </cell>
          <cell r="AA1">
            <v>44371</v>
          </cell>
          <cell r="AB1">
            <v>44372</v>
          </cell>
          <cell r="AC1">
            <v>44373</v>
          </cell>
          <cell r="AD1">
            <v>44374</v>
          </cell>
          <cell r="AE1">
            <v>44375</v>
          </cell>
          <cell r="AF1">
            <v>44376</v>
          </cell>
          <cell r="AG1">
            <v>44377</v>
          </cell>
          <cell r="AH1" t="str">
            <v/>
          </cell>
        </row>
        <row r="2">
          <cell r="D2">
            <v>44348</v>
          </cell>
          <cell r="E2">
            <v>44349</v>
          </cell>
          <cell r="F2">
            <v>44350</v>
          </cell>
          <cell r="G2">
            <v>44351</v>
          </cell>
          <cell r="H2">
            <v>44352</v>
          </cell>
          <cell r="I2">
            <v>44353</v>
          </cell>
          <cell r="J2">
            <v>44354</v>
          </cell>
          <cell r="K2">
            <v>44355</v>
          </cell>
          <cell r="L2">
            <v>44356</v>
          </cell>
          <cell r="M2">
            <v>44357</v>
          </cell>
          <cell r="N2">
            <v>44358</v>
          </cell>
          <cell r="O2">
            <v>44359</v>
          </cell>
          <cell r="P2">
            <v>44360</v>
          </cell>
          <cell r="Q2">
            <v>44361</v>
          </cell>
          <cell r="R2">
            <v>44362</v>
          </cell>
          <cell r="S2">
            <v>44363</v>
          </cell>
          <cell r="T2">
            <v>44364</v>
          </cell>
          <cell r="U2">
            <v>44365</v>
          </cell>
          <cell r="V2">
            <v>44366</v>
          </cell>
          <cell r="W2">
            <v>44367</v>
          </cell>
          <cell r="X2">
            <v>44368</v>
          </cell>
          <cell r="Y2">
            <v>44369</v>
          </cell>
          <cell r="Z2">
            <v>44370</v>
          </cell>
          <cell r="AA2">
            <v>44371</v>
          </cell>
          <cell r="AB2">
            <v>44372</v>
          </cell>
          <cell r="AC2">
            <v>44373</v>
          </cell>
          <cell r="AD2">
            <v>44374</v>
          </cell>
          <cell r="AE2">
            <v>44375</v>
          </cell>
          <cell r="AF2">
            <v>44376</v>
          </cell>
          <cell r="AG2">
            <v>44377</v>
          </cell>
          <cell r="AH2" t="str">
            <v/>
          </cell>
        </row>
        <row r="3">
          <cell r="D3" t="str">
            <v>南</v>
          </cell>
          <cell r="E3" t="str">
            <v>薬司</v>
          </cell>
          <cell r="F3" t="str">
            <v>大橋</v>
          </cell>
          <cell r="G3" t="str">
            <v>清水</v>
          </cell>
          <cell r="H3" t="str">
            <v>長田</v>
          </cell>
          <cell r="I3" t="str">
            <v>山本</v>
          </cell>
          <cell r="J3" t="str">
            <v>清水</v>
          </cell>
          <cell r="K3" t="str">
            <v>大橋</v>
          </cell>
          <cell r="L3" t="str">
            <v>加藤</v>
          </cell>
          <cell r="M3" t="str">
            <v>澤野</v>
          </cell>
          <cell r="N3" t="str">
            <v>中村映</v>
          </cell>
          <cell r="O3" t="str">
            <v>平田恵</v>
          </cell>
          <cell r="P3" t="str">
            <v>山村</v>
          </cell>
          <cell r="Q3" t="str">
            <v>清水</v>
          </cell>
          <cell r="R3" t="str">
            <v>南</v>
          </cell>
          <cell r="S3" t="str">
            <v>平田真</v>
          </cell>
          <cell r="T3" t="str">
            <v>山本</v>
          </cell>
          <cell r="U3" t="str">
            <v>長田</v>
          </cell>
          <cell r="V3" t="str">
            <v>加藤</v>
          </cell>
          <cell r="W3" t="str">
            <v>田村</v>
          </cell>
          <cell r="X3" t="str">
            <v>大橋</v>
          </cell>
          <cell r="Y3" t="str">
            <v>山村</v>
          </cell>
          <cell r="Z3" t="str">
            <v>薬司</v>
          </cell>
          <cell r="AA3" t="str">
            <v>山田</v>
          </cell>
          <cell r="AB3" t="str">
            <v>清水</v>
          </cell>
          <cell r="AC3" t="str">
            <v>山下</v>
          </cell>
          <cell r="AD3" t="str">
            <v>長田</v>
          </cell>
          <cell r="AE3" t="str">
            <v>大橋</v>
          </cell>
          <cell r="AF3" t="str">
            <v>本田</v>
          </cell>
          <cell r="AG3" t="str">
            <v>佐藤恵</v>
          </cell>
          <cell r="AH3" t="str">
            <v/>
          </cell>
        </row>
        <row r="4">
          <cell r="D4" t="str">
            <v>佐藤恵</v>
          </cell>
          <cell r="E4" t="str">
            <v>西郡</v>
          </cell>
          <cell r="F4" t="str">
            <v>龍野</v>
          </cell>
          <cell r="G4" t="str">
            <v>諸田</v>
          </cell>
          <cell r="H4" t="str">
            <v>齊藤</v>
          </cell>
          <cell r="I4" t="str">
            <v>佐藤恵</v>
          </cell>
          <cell r="J4" t="str">
            <v>庵</v>
          </cell>
          <cell r="K4" t="str">
            <v>南</v>
          </cell>
          <cell r="L4" t="str">
            <v>薬司</v>
          </cell>
          <cell r="M4" t="str">
            <v>松木</v>
          </cell>
          <cell r="N4" t="str">
            <v>本田</v>
          </cell>
          <cell r="O4" t="str">
            <v>佐藤恵</v>
          </cell>
          <cell r="P4" t="str">
            <v>大橋</v>
          </cell>
          <cell r="Q4" t="str">
            <v>龍野</v>
          </cell>
          <cell r="R4" t="str">
            <v>西郡</v>
          </cell>
          <cell r="S4" t="str">
            <v>庵</v>
          </cell>
          <cell r="T4" t="str">
            <v>佐藤恵</v>
          </cell>
          <cell r="U4" t="str">
            <v>齊藤</v>
          </cell>
          <cell r="V4" t="str">
            <v>諸田</v>
          </cell>
          <cell r="W4" t="str">
            <v>佐藤穂</v>
          </cell>
          <cell r="X4" t="str">
            <v>澤野</v>
          </cell>
          <cell r="Y4" t="str">
            <v>中村映</v>
          </cell>
          <cell r="Z4" t="str">
            <v>西郡</v>
          </cell>
          <cell r="AA4" t="str">
            <v>松木</v>
          </cell>
          <cell r="AB4" t="str">
            <v>龍野</v>
          </cell>
          <cell r="AC4" t="str">
            <v>田村</v>
          </cell>
          <cell r="AD4" t="str">
            <v>庵</v>
          </cell>
          <cell r="AE4" t="str">
            <v>南</v>
          </cell>
          <cell r="AF4" t="str">
            <v>西郡</v>
          </cell>
          <cell r="AG4" t="str">
            <v>佐藤穂</v>
          </cell>
          <cell r="AH4" t="str">
            <v/>
          </cell>
        </row>
      </sheetData>
      <sheetData sheetId="9">
        <row r="1">
          <cell r="D1">
            <v>44348</v>
          </cell>
          <cell r="E1">
            <v>44349</v>
          </cell>
          <cell r="F1">
            <v>44350</v>
          </cell>
          <cell r="G1">
            <v>44351</v>
          </cell>
          <cell r="H1">
            <v>44352</v>
          </cell>
          <cell r="I1">
            <v>44353</v>
          </cell>
          <cell r="J1">
            <v>44354</v>
          </cell>
          <cell r="K1">
            <v>44355</v>
          </cell>
          <cell r="L1">
            <v>44356</v>
          </cell>
          <cell r="M1">
            <v>44357</v>
          </cell>
          <cell r="N1">
            <v>44358</v>
          </cell>
          <cell r="O1">
            <v>44359</v>
          </cell>
          <cell r="P1">
            <v>44360</v>
          </cell>
          <cell r="Q1">
            <v>44361</v>
          </cell>
          <cell r="R1">
            <v>44362</v>
          </cell>
          <cell r="S1">
            <v>44363</v>
          </cell>
          <cell r="T1">
            <v>44364</v>
          </cell>
          <cell r="U1">
            <v>44365</v>
          </cell>
          <cell r="V1">
            <v>44366</v>
          </cell>
          <cell r="W1">
            <v>44367</v>
          </cell>
          <cell r="X1">
            <v>44368</v>
          </cell>
          <cell r="Y1">
            <v>44369</v>
          </cell>
          <cell r="Z1">
            <v>44370</v>
          </cell>
          <cell r="AA1">
            <v>44371</v>
          </cell>
          <cell r="AB1">
            <v>44372</v>
          </cell>
          <cell r="AC1">
            <v>44373</v>
          </cell>
          <cell r="AD1">
            <v>44374</v>
          </cell>
          <cell r="AE1">
            <v>44375</v>
          </cell>
          <cell r="AF1">
            <v>44376</v>
          </cell>
          <cell r="AG1">
            <v>44377</v>
          </cell>
          <cell r="AH1" t="str">
            <v/>
          </cell>
        </row>
        <row r="2">
          <cell r="D2">
            <v>44348</v>
          </cell>
          <cell r="E2">
            <v>44349</v>
          </cell>
          <cell r="F2">
            <v>44350</v>
          </cell>
          <cell r="G2">
            <v>44351</v>
          </cell>
          <cell r="H2">
            <v>44352</v>
          </cell>
          <cell r="I2">
            <v>44353</v>
          </cell>
          <cell r="J2">
            <v>44354</v>
          </cell>
          <cell r="K2">
            <v>44355</v>
          </cell>
          <cell r="L2">
            <v>44356</v>
          </cell>
          <cell r="M2">
            <v>44357</v>
          </cell>
          <cell r="N2">
            <v>44358</v>
          </cell>
          <cell r="O2">
            <v>44359</v>
          </cell>
          <cell r="P2">
            <v>44360</v>
          </cell>
          <cell r="Q2">
            <v>44361</v>
          </cell>
          <cell r="R2">
            <v>44362</v>
          </cell>
          <cell r="S2">
            <v>44363</v>
          </cell>
          <cell r="T2">
            <v>44364</v>
          </cell>
          <cell r="U2">
            <v>44365</v>
          </cell>
          <cell r="V2">
            <v>44366</v>
          </cell>
          <cell r="W2">
            <v>44367</v>
          </cell>
          <cell r="X2">
            <v>44368</v>
          </cell>
          <cell r="Y2">
            <v>44369</v>
          </cell>
          <cell r="Z2">
            <v>44370</v>
          </cell>
          <cell r="AA2">
            <v>44371</v>
          </cell>
          <cell r="AB2">
            <v>44372</v>
          </cell>
          <cell r="AC2">
            <v>44373</v>
          </cell>
          <cell r="AD2">
            <v>44374</v>
          </cell>
          <cell r="AE2">
            <v>44375</v>
          </cell>
          <cell r="AF2">
            <v>44376</v>
          </cell>
          <cell r="AG2">
            <v>44377</v>
          </cell>
          <cell r="AH2" t="str">
            <v/>
          </cell>
        </row>
        <row r="3">
          <cell r="D3" t="str">
            <v>宮崎</v>
          </cell>
          <cell r="E3" t="str">
            <v>南</v>
          </cell>
          <cell r="F3" t="str">
            <v>薬司</v>
          </cell>
          <cell r="G3" t="str">
            <v>松木</v>
          </cell>
          <cell r="H3" t="str">
            <v>木田</v>
          </cell>
          <cell r="I3" t="str">
            <v>宮崎</v>
          </cell>
          <cell r="J3" t="str">
            <v>山本</v>
          </cell>
          <cell r="K3" t="str">
            <v>庵</v>
          </cell>
          <cell r="L3" t="str">
            <v>佐藤穂</v>
          </cell>
          <cell r="M3" t="str">
            <v>平田恵</v>
          </cell>
          <cell r="N3" t="str">
            <v>長田</v>
          </cell>
          <cell r="O3" t="str">
            <v>木田</v>
          </cell>
          <cell r="P3" t="str">
            <v>宮崎</v>
          </cell>
          <cell r="Q3" t="str">
            <v>山村</v>
          </cell>
          <cell r="R3" t="str">
            <v>清水</v>
          </cell>
          <cell r="S3" t="str">
            <v/>
          </cell>
          <cell r="T3" t="str">
            <v>平田恵</v>
          </cell>
          <cell r="U3" t="str">
            <v>山村</v>
          </cell>
          <cell r="V3" t="str">
            <v>木田</v>
          </cell>
          <cell r="W3" t="str">
            <v>宮崎</v>
          </cell>
          <cell r="X3" t="str">
            <v>田村</v>
          </cell>
          <cell r="Y3" t="str">
            <v>大橋</v>
          </cell>
          <cell r="Z3" t="str">
            <v>本田</v>
          </cell>
          <cell r="AA3" t="str">
            <v>長田</v>
          </cell>
          <cell r="AB3" t="str">
            <v>加藤</v>
          </cell>
          <cell r="AC3" t="str">
            <v>木田</v>
          </cell>
          <cell r="AD3" t="str">
            <v>宮崎</v>
          </cell>
          <cell r="AE3" t="str">
            <v>長田</v>
          </cell>
          <cell r="AF3" t="str">
            <v>大橋</v>
          </cell>
          <cell r="AG3" t="str">
            <v>山下</v>
          </cell>
          <cell r="AH3" t="str">
            <v/>
          </cell>
        </row>
        <row r="4">
          <cell r="D4" t="str">
            <v>山下</v>
          </cell>
          <cell r="E4" t="str">
            <v>佐藤恵</v>
          </cell>
          <cell r="F4" t="str">
            <v>西郡</v>
          </cell>
          <cell r="G4" t="str">
            <v/>
          </cell>
          <cell r="H4" t="str">
            <v/>
          </cell>
          <cell r="I4" t="str">
            <v>山下</v>
          </cell>
          <cell r="J4" t="str">
            <v>佐藤恵</v>
          </cell>
          <cell r="K4" t="str">
            <v/>
          </cell>
          <cell r="L4" t="str">
            <v/>
          </cell>
          <cell r="M4" t="str">
            <v/>
          </cell>
          <cell r="N4" t="str">
            <v>清水</v>
          </cell>
          <cell r="O4" t="str">
            <v/>
          </cell>
          <cell r="P4" t="str">
            <v>山下</v>
          </cell>
          <cell r="Q4" t="str">
            <v>大橋</v>
          </cell>
          <cell r="R4" t="str">
            <v>龍野</v>
          </cell>
          <cell r="S4" t="str">
            <v/>
          </cell>
          <cell r="T4" t="str">
            <v>平田真</v>
          </cell>
          <cell r="U4" t="str">
            <v>佐藤恵</v>
          </cell>
          <cell r="V4" t="str">
            <v/>
          </cell>
          <cell r="W4" t="str">
            <v>山下</v>
          </cell>
          <cell r="X4" t="str">
            <v>佐藤穂</v>
          </cell>
          <cell r="Y4" t="str">
            <v>澤野</v>
          </cell>
          <cell r="Z4" t="str">
            <v/>
          </cell>
          <cell r="AA4" t="str">
            <v>諸田</v>
          </cell>
          <cell r="AB4" t="str">
            <v/>
          </cell>
          <cell r="AC4" t="str">
            <v/>
          </cell>
          <cell r="AD4" t="str">
            <v>山下</v>
          </cell>
          <cell r="AE4" t="str">
            <v>田村</v>
          </cell>
          <cell r="AF4" t="str">
            <v>南</v>
          </cell>
          <cell r="AG4" t="str">
            <v/>
          </cell>
          <cell r="AH4" t="str">
            <v/>
          </cell>
        </row>
        <row r="5">
          <cell r="D5" t="str">
            <v>山村</v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>山村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>平田恵</v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>山村</v>
          </cell>
          <cell r="X5" t="str">
            <v/>
          </cell>
          <cell r="Y5" t="str">
            <v>齊藤</v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>山村</v>
          </cell>
          <cell r="AE5" t="str">
            <v>庵</v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>平田恵</v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>平田恵</v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>長田</v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>平田恵</v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>平田恵</v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>長田</v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>長田</v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>中井</v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>長田</v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>中井</v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>中井</v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>中井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>北</v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>中井</v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>北</v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>北</v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>北</v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>中村映</v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>北</v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>中村映</v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>中村映</v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>中村映</v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>山本</v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>中村映</v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>平田真</v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44378</v>
          </cell>
          <cell r="E1">
            <v>44379</v>
          </cell>
          <cell r="F1">
            <v>44380</v>
          </cell>
          <cell r="G1">
            <v>44381</v>
          </cell>
          <cell r="H1">
            <v>44382</v>
          </cell>
          <cell r="I1">
            <v>44383</v>
          </cell>
          <cell r="J1">
            <v>44384</v>
          </cell>
          <cell r="K1">
            <v>44385</v>
          </cell>
          <cell r="L1">
            <v>44386</v>
          </cell>
          <cell r="M1">
            <v>44387</v>
          </cell>
          <cell r="N1">
            <v>44388</v>
          </cell>
          <cell r="O1">
            <v>44389</v>
          </cell>
          <cell r="P1">
            <v>44390</v>
          </cell>
          <cell r="Q1">
            <v>44391</v>
          </cell>
          <cell r="R1">
            <v>44392</v>
          </cell>
          <cell r="S1">
            <v>44393</v>
          </cell>
          <cell r="T1">
            <v>44394</v>
          </cell>
          <cell r="U1">
            <v>44395</v>
          </cell>
          <cell r="V1">
            <v>44396</v>
          </cell>
          <cell r="W1">
            <v>44397</v>
          </cell>
          <cell r="X1">
            <v>44398</v>
          </cell>
          <cell r="Y1">
            <v>44399</v>
          </cell>
          <cell r="Z1">
            <v>44400</v>
          </cell>
          <cell r="AA1">
            <v>44401</v>
          </cell>
          <cell r="AB1">
            <v>44402</v>
          </cell>
          <cell r="AC1">
            <v>44403</v>
          </cell>
          <cell r="AD1">
            <v>44404</v>
          </cell>
          <cell r="AE1">
            <v>44405</v>
          </cell>
          <cell r="AF1">
            <v>44406</v>
          </cell>
          <cell r="AG1">
            <v>44407</v>
          </cell>
          <cell r="AH1">
            <v>44408</v>
          </cell>
        </row>
        <row r="2">
          <cell r="D2">
            <v>44378</v>
          </cell>
          <cell r="E2">
            <v>44379</v>
          </cell>
          <cell r="F2">
            <v>44380</v>
          </cell>
          <cell r="G2">
            <v>44381</v>
          </cell>
          <cell r="H2">
            <v>44382</v>
          </cell>
          <cell r="I2">
            <v>44383</v>
          </cell>
          <cell r="J2">
            <v>44384</v>
          </cell>
          <cell r="K2">
            <v>44385</v>
          </cell>
          <cell r="L2">
            <v>44386</v>
          </cell>
          <cell r="M2">
            <v>44387</v>
          </cell>
          <cell r="N2">
            <v>44388</v>
          </cell>
          <cell r="O2">
            <v>44389</v>
          </cell>
          <cell r="P2">
            <v>44390</v>
          </cell>
          <cell r="Q2">
            <v>44391</v>
          </cell>
          <cell r="R2">
            <v>44392</v>
          </cell>
          <cell r="S2">
            <v>44393</v>
          </cell>
          <cell r="T2">
            <v>44394</v>
          </cell>
          <cell r="U2">
            <v>44395</v>
          </cell>
          <cell r="V2">
            <v>44396</v>
          </cell>
          <cell r="W2">
            <v>44397</v>
          </cell>
          <cell r="X2">
            <v>44398</v>
          </cell>
          <cell r="Y2">
            <v>44399</v>
          </cell>
          <cell r="Z2">
            <v>44400</v>
          </cell>
          <cell r="AA2">
            <v>44401</v>
          </cell>
          <cell r="AB2">
            <v>44402</v>
          </cell>
          <cell r="AC2">
            <v>44403</v>
          </cell>
          <cell r="AD2">
            <v>44404</v>
          </cell>
          <cell r="AE2">
            <v>44405</v>
          </cell>
          <cell r="AF2">
            <v>44406</v>
          </cell>
          <cell r="AG2">
            <v>44407</v>
          </cell>
          <cell r="AH2">
            <v>44408</v>
          </cell>
        </row>
        <row r="3">
          <cell r="D3" t="str">
            <v>平田恵</v>
          </cell>
          <cell r="E3" t="str">
            <v>大橋</v>
          </cell>
          <cell r="F3" t="str">
            <v>山村</v>
          </cell>
          <cell r="G3" t="str">
            <v>山田</v>
          </cell>
          <cell r="H3" t="str">
            <v>山本</v>
          </cell>
          <cell r="I3" t="str">
            <v>加藤</v>
          </cell>
          <cell r="J3" t="str">
            <v>大橋</v>
          </cell>
          <cell r="K3" t="str">
            <v>中村映</v>
          </cell>
          <cell r="L3" t="str">
            <v>田村</v>
          </cell>
          <cell r="M3" t="str">
            <v>佐藤恵</v>
          </cell>
          <cell r="N3" t="str">
            <v>澤野</v>
          </cell>
          <cell r="O3" t="str">
            <v>長田</v>
          </cell>
          <cell r="P3" t="str">
            <v>山田</v>
          </cell>
          <cell r="Q3" t="str">
            <v>南</v>
          </cell>
          <cell r="R3" t="str">
            <v>山下</v>
          </cell>
          <cell r="S3" t="str">
            <v>庵</v>
          </cell>
          <cell r="T3" t="str">
            <v>加藤</v>
          </cell>
          <cell r="U3" t="str">
            <v>平田恵</v>
          </cell>
          <cell r="V3" t="str">
            <v>龍野</v>
          </cell>
          <cell r="W3" t="str">
            <v>山本</v>
          </cell>
          <cell r="X3" t="str">
            <v>清水</v>
          </cell>
          <cell r="Y3" t="str">
            <v>大橋</v>
          </cell>
          <cell r="Z3" t="str">
            <v>長田</v>
          </cell>
          <cell r="AA3" t="str">
            <v>山田</v>
          </cell>
          <cell r="AB3" t="str">
            <v>大橋</v>
          </cell>
          <cell r="AC3" t="str">
            <v>齊藤</v>
          </cell>
          <cell r="AD3" t="str">
            <v>南</v>
          </cell>
          <cell r="AE3" t="str">
            <v>山村</v>
          </cell>
          <cell r="AF3" t="str">
            <v>平田恵</v>
          </cell>
          <cell r="AG3" t="str">
            <v>大橋</v>
          </cell>
          <cell r="AH3" t="str">
            <v>加藤</v>
          </cell>
        </row>
        <row r="4">
          <cell r="D4" t="str">
            <v>清水</v>
          </cell>
          <cell r="E4" t="str">
            <v>薬司</v>
          </cell>
          <cell r="F4" t="str">
            <v>加藤</v>
          </cell>
          <cell r="G4" t="str">
            <v>西郡</v>
          </cell>
          <cell r="H4" t="str">
            <v>佐藤恵</v>
          </cell>
          <cell r="I4" t="str">
            <v>龍野</v>
          </cell>
          <cell r="J4" t="str">
            <v>齊藤</v>
          </cell>
          <cell r="K4" t="str">
            <v>松木</v>
          </cell>
          <cell r="L4" t="str">
            <v>庵</v>
          </cell>
          <cell r="M4" t="str">
            <v>佐藤穂</v>
          </cell>
          <cell r="N4" t="str">
            <v>清水</v>
          </cell>
          <cell r="O4" t="str">
            <v>薬司</v>
          </cell>
          <cell r="P4" t="str">
            <v>諸田</v>
          </cell>
          <cell r="Q4" t="str">
            <v>西郡</v>
          </cell>
          <cell r="R4" t="str">
            <v>中村映</v>
          </cell>
          <cell r="S4" t="str">
            <v>佐藤恵</v>
          </cell>
          <cell r="T4" t="str">
            <v>松木</v>
          </cell>
          <cell r="U4" t="str">
            <v>田村</v>
          </cell>
          <cell r="V4" t="str">
            <v>西郡</v>
          </cell>
          <cell r="W4" t="str">
            <v>松木</v>
          </cell>
          <cell r="X4" t="str">
            <v>本田</v>
          </cell>
          <cell r="Y4" t="str">
            <v>澤野</v>
          </cell>
          <cell r="Z4" t="str">
            <v>佐藤穂</v>
          </cell>
          <cell r="AA4" t="str">
            <v>田村</v>
          </cell>
          <cell r="AB4" t="str">
            <v>諸田</v>
          </cell>
          <cell r="AC4" t="str">
            <v>加藤</v>
          </cell>
          <cell r="AD4" t="str">
            <v>西郡</v>
          </cell>
          <cell r="AE4" t="str">
            <v>長田</v>
          </cell>
          <cell r="AF4" t="str">
            <v>本田</v>
          </cell>
          <cell r="AG4" t="str">
            <v>薬司</v>
          </cell>
          <cell r="AH4" t="str">
            <v>諸田</v>
          </cell>
        </row>
      </sheetData>
      <sheetData sheetId="9">
        <row r="1">
          <cell r="D1">
            <v>44378</v>
          </cell>
          <cell r="E1">
            <v>44379</v>
          </cell>
          <cell r="F1">
            <v>44380</v>
          </cell>
          <cell r="G1">
            <v>44381</v>
          </cell>
          <cell r="H1">
            <v>44382</v>
          </cell>
          <cell r="I1">
            <v>44383</v>
          </cell>
          <cell r="J1">
            <v>44384</v>
          </cell>
          <cell r="K1">
            <v>44385</v>
          </cell>
          <cell r="L1">
            <v>44386</v>
          </cell>
          <cell r="M1">
            <v>44387</v>
          </cell>
          <cell r="N1">
            <v>44388</v>
          </cell>
          <cell r="O1">
            <v>44389</v>
          </cell>
          <cell r="P1">
            <v>44390</v>
          </cell>
          <cell r="Q1">
            <v>44391</v>
          </cell>
          <cell r="R1">
            <v>44392</v>
          </cell>
          <cell r="S1">
            <v>44393</v>
          </cell>
          <cell r="T1">
            <v>44394</v>
          </cell>
          <cell r="U1">
            <v>44395</v>
          </cell>
          <cell r="V1">
            <v>44396</v>
          </cell>
          <cell r="W1">
            <v>44397</v>
          </cell>
          <cell r="X1">
            <v>44398</v>
          </cell>
          <cell r="Y1">
            <v>44399</v>
          </cell>
          <cell r="Z1">
            <v>44400</v>
          </cell>
          <cell r="AA1">
            <v>44401</v>
          </cell>
          <cell r="AB1">
            <v>44402</v>
          </cell>
          <cell r="AC1">
            <v>44403</v>
          </cell>
          <cell r="AD1">
            <v>44404</v>
          </cell>
          <cell r="AE1">
            <v>44405</v>
          </cell>
          <cell r="AF1">
            <v>44406</v>
          </cell>
          <cell r="AG1">
            <v>44407</v>
          </cell>
          <cell r="AH1">
            <v>44408</v>
          </cell>
        </row>
        <row r="2">
          <cell r="D2">
            <v>44378</v>
          </cell>
          <cell r="E2">
            <v>44379</v>
          </cell>
          <cell r="F2">
            <v>44380</v>
          </cell>
          <cell r="G2">
            <v>44381</v>
          </cell>
          <cell r="H2">
            <v>44382</v>
          </cell>
          <cell r="I2">
            <v>44383</v>
          </cell>
          <cell r="J2">
            <v>44384</v>
          </cell>
          <cell r="K2">
            <v>44385</v>
          </cell>
          <cell r="L2">
            <v>44386</v>
          </cell>
          <cell r="M2">
            <v>44387</v>
          </cell>
          <cell r="N2">
            <v>44388</v>
          </cell>
          <cell r="O2">
            <v>44389</v>
          </cell>
          <cell r="P2">
            <v>44390</v>
          </cell>
          <cell r="Q2">
            <v>44391</v>
          </cell>
          <cell r="R2">
            <v>44392</v>
          </cell>
          <cell r="S2">
            <v>44393</v>
          </cell>
          <cell r="T2">
            <v>44394</v>
          </cell>
          <cell r="U2">
            <v>44395</v>
          </cell>
          <cell r="V2">
            <v>44396</v>
          </cell>
          <cell r="W2">
            <v>44397</v>
          </cell>
          <cell r="X2">
            <v>44398</v>
          </cell>
          <cell r="Y2">
            <v>44399</v>
          </cell>
          <cell r="Z2">
            <v>44400</v>
          </cell>
          <cell r="AA2">
            <v>44401</v>
          </cell>
          <cell r="AB2">
            <v>44402</v>
          </cell>
          <cell r="AC2">
            <v>44403</v>
          </cell>
          <cell r="AD2">
            <v>44404</v>
          </cell>
          <cell r="AE2">
            <v>44405</v>
          </cell>
          <cell r="AF2">
            <v>44406</v>
          </cell>
          <cell r="AG2">
            <v>44407</v>
          </cell>
          <cell r="AH2">
            <v>44408</v>
          </cell>
        </row>
        <row r="3">
          <cell r="D3" t="str">
            <v/>
          </cell>
          <cell r="E3" t="str">
            <v/>
          </cell>
          <cell r="F3" t="str">
            <v>木田</v>
          </cell>
          <cell r="G3" t="str">
            <v>宮崎</v>
          </cell>
          <cell r="H3" t="str">
            <v>山田</v>
          </cell>
          <cell r="I3" t="str">
            <v>佐藤恵</v>
          </cell>
          <cell r="J3" t="str">
            <v>加藤</v>
          </cell>
          <cell r="K3" t="str">
            <v>山村</v>
          </cell>
          <cell r="L3" t="str">
            <v>山本</v>
          </cell>
          <cell r="M3" t="str">
            <v>木田</v>
          </cell>
          <cell r="N3" t="str">
            <v>宮崎</v>
          </cell>
          <cell r="O3" t="str">
            <v>清水</v>
          </cell>
          <cell r="P3" t="str">
            <v>長田</v>
          </cell>
          <cell r="Q3" t="str">
            <v>佐藤恵</v>
          </cell>
          <cell r="R3" t="str">
            <v>山田</v>
          </cell>
          <cell r="S3" t="str">
            <v>澤野</v>
          </cell>
          <cell r="T3" t="str">
            <v>木田</v>
          </cell>
          <cell r="U3" t="str">
            <v>宮崎</v>
          </cell>
          <cell r="V3" t="str">
            <v>平田恵</v>
          </cell>
          <cell r="W3" t="str">
            <v>西郡</v>
          </cell>
          <cell r="X3" t="str">
            <v>南</v>
          </cell>
          <cell r="Y3" t="str">
            <v>宮崎</v>
          </cell>
          <cell r="Z3" t="str">
            <v>宮崎</v>
          </cell>
          <cell r="AA3" t="str">
            <v>木田</v>
          </cell>
          <cell r="AB3" t="str">
            <v>宮崎</v>
          </cell>
          <cell r="AC3" t="str">
            <v>大橋</v>
          </cell>
          <cell r="AD3" t="str">
            <v>田村</v>
          </cell>
          <cell r="AE3" t="str">
            <v>平田真</v>
          </cell>
          <cell r="AF3" t="str">
            <v>山村</v>
          </cell>
          <cell r="AG3" t="str">
            <v>平田恵</v>
          </cell>
          <cell r="AH3" t="str">
            <v>木田</v>
          </cell>
        </row>
        <row r="4">
          <cell r="D4" t="str">
            <v/>
          </cell>
          <cell r="E4" t="str">
            <v/>
          </cell>
          <cell r="F4" t="str">
            <v/>
          </cell>
          <cell r="G4" t="str">
            <v>山下</v>
          </cell>
          <cell r="H4" t="str">
            <v>西郡</v>
          </cell>
          <cell r="I4" t="str">
            <v/>
          </cell>
          <cell r="J4" t="str">
            <v>諸田</v>
          </cell>
          <cell r="K4" t="str">
            <v/>
          </cell>
          <cell r="L4" t="str">
            <v/>
          </cell>
          <cell r="M4" t="str">
            <v/>
          </cell>
          <cell r="N4" t="str">
            <v>山下</v>
          </cell>
          <cell r="O4" t="str">
            <v>龍野</v>
          </cell>
          <cell r="P4" t="str">
            <v>薬司</v>
          </cell>
          <cell r="Q4" t="str">
            <v>本田</v>
          </cell>
          <cell r="R4" t="str">
            <v>佐藤穂</v>
          </cell>
          <cell r="S4" t="str">
            <v>佐藤穂</v>
          </cell>
          <cell r="T4" t="str">
            <v/>
          </cell>
          <cell r="U4" t="str">
            <v>山下</v>
          </cell>
          <cell r="V4" t="str">
            <v>田村</v>
          </cell>
          <cell r="W4" t="str">
            <v/>
          </cell>
          <cell r="X4" t="str">
            <v>山田</v>
          </cell>
          <cell r="Y4" t="str">
            <v>山下</v>
          </cell>
          <cell r="Z4" t="str">
            <v>山下</v>
          </cell>
          <cell r="AA4" t="str">
            <v/>
          </cell>
          <cell r="AB4" t="str">
            <v>山下</v>
          </cell>
          <cell r="AC4" t="str">
            <v>佐藤穂</v>
          </cell>
          <cell r="AD4" t="str">
            <v>齊藤</v>
          </cell>
          <cell r="AE4" t="str">
            <v>大橋</v>
          </cell>
          <cell r="AF4" t="str">
            <v>長田</v>
          </cell>
          <cell r="AG4" t="str">
            <v>長田</v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>山村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>山村</v>
          </cell>
          <cell r="O5" t="str">
            <v/>
          </cell>
          <cell r="P5" t="str">
            <v/>
          </cell>
          <cell r="Q5" t="str">
            <v/>
          </cell>
          <cell r="R5" t="str">
            <v>松木</v>
          </cell>
          <cell r="S5" t="str">
            <v/>
          </cell>
          <cell r="T5" t="str">
            <v/>
          </cell>
          <cell r="U5" t="str">
            <v>山村</v>
          </cell>
          <cell r="V5" t="str">
            <v>加藤</v>
          </cell>
          <cell r="W5" t="str">
            <v/>
          </cell>
          <cell r="X5" t="str">
            <v/>
          </cell>
          <cell r="Y5" t="str">
            <v>平田恵</v>
          </cell>
          <cell r="Z5" t="str">
            <v>山村</v>
          </cell>
          <cell r="AA5" t="str">
            <v/>
          </cell>
          <cell r="AB5" t="str">
            <v>山村</v>
          </cell>
          <cell r="AC5" t="str">
            <v>諸田</v>
          </cell>
          <cell r="AD5" t="str">
            <v>加藤</v>
          </cell>
          <cell r="AE5" t="str">
            <v>澤野</v>
          </cell>
          <cell r="AF5" t="str">
            <v/>
          </cell>
          <cell r="AG5" t="str">
            <v>田村</v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>平田恵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>平田恵</v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>長田</v>
          </cell>
          <cell r="V6" t="str">
            <v/>
          </cell>
          <cell r="W6" t="str">
            <v/>
          </cell>
          <cell r="X6" t="str">
            <v/>
          </cell>
          <cell r="Y6" t="str">
            <v>中井</v>
          </cell>
          <cell r="Z6" t="str">
            <v>平田恵</v>
          </cell>
          <cell r="AA6" t="str">
            <v/>
          </cell>
          <cell r="AB6" t="str">
            <v>長田</v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>長田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>中井</v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>中井</v>
          </cell>
          <cell r="V7" t="str">
            <v/>
          </cell>
          <cell r="W7" t="str">
            <v/>
          </cell>
          <cell r="X7" t="str">
            <v/>
          </cell>
          <cell r="Y7" t="str">
            <v>北</v>
          </cell>
          <cell r="Z7" t="str">
            <v>中井</v>
          </cell>
          <cell r="AA7" t="str">
            <v/>
          </cell>
          <cell r="AB7" t="str">
            <v>中井</v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>中井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>北</v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>北</v>
          </cell>
          <cell r="V8" t="str">
            <v/>
          </cell>
          <cell r="W8" t="str">
            <v/>
          </cell>
          <cell r="X8" t="str">
            <v/>
          </cell>
          <cell r="Y8" t="str">
            <v>中村映</v>
          </cell>
          <cell r="Z8" t="str">
            <v>北</v>
          </cell>
          <cell r="AA8" t="str">
            <v/>
          </cell>
          <cell r="AB8" t="str">
            <v>北</v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>北</v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>中村映</v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>中村映</v>
          </cell>
          <cell r="V9" t="str">
            <v/>
          </cell>
          <cell r="W9" t="str">
            <v/>
          </cell>
          <cell r="X9" t="str">
            <v/>
          </cell>
          <cell r="Y9" t="str">
            <v>平田真</v>
          </cell>
          <cell r="Z9" t="str">
            <v>中村映</v>
          </cell>
          <cell r="AA9" t="str">
            <v/>
          </cell>
          <cell r="AB9" t="str">
            <v>中村映</v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>中村映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>平田真</v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>大橋</v>
          </cell>
          <cell r="V10" t="str">
            <v/>
          </cell>
          <cell r="W10" t="str">
            <v/>
          </cell>
          <cell r="X10" t="str">
            <v/>
          </cell>
          <cell r="Y10" t="str">
            <v>山本</v>
          </cell>
          <cell r="Z10" t="str">
            <v>平田真</v>
          </cell>
          <cell r="AA10" t="str">
            <v/>
          </cell>
          <cell r="AB10" t="str">
            <v>平田真</v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44409</v>
          </cell>
          <cell r="E1">
            <v>44410</v>
          </cell>
          <cell r="F1">
            <v>44411</v>
          </cell>
          <cell r="G1">
            <v>44412</v>
          </cell>
          <cell r="H1">
            <v>44413</v>
          </cell>
          <cell r="I1">
            <v>44414</v>
          </cell>
          <cell r="J1">
            <v>44415</v>
          </cell>
          <cell r="K1">
            <v>44416</v>
          </cell>
          <cell r="L1">
            <v>44417</v>
          </cell>
          <cell r="M1">
            <v>44418</v>
          </cell>
          <cell r="N1">
            <v>44419</v>
          </cell>
          <cell r="O1">
            <v>44420</v>
          </cell>
          <cell r="P1">
            <v>44421</v>
          </cell>
          <cell r="Q1">
            <v>44422</v>
          </cell>
          <cell r="R1">
            <v>44423</v>
          </cell>
          <cell r="S1">
            <v>44424</v>
          </cell>
          <cell r="T1">
            <v>44425</v>
          </cell>
          <cell r="U1">
            <v>44426</v>
          </cell>
          <cell r="V1">
            <v>44427</v>
          </cell>
          <cell r="W1">
            <v>44428</v>
          </cell>
          <cell r="X1">
            <v>44429</v>
          </cell>
          <cell r="Y1">
            <v>44430</v>
          </cell>
          <cell r="Z1">
            <v>44431</v>
          </cell>
          <cell r="AA1">
            <v>44432</v>
          </cell>
          <cell r="AB1">
            <v>44433</v>
          </cell>
          <cell r="AC1">
            <v>44434</v>
          </cell>
          <cell r="AD1">
            <v>44435</v>
          </cell>
          <cell r="AE1">
            <v>44436</v>
          </cell>
          <cell r="AF1">
            <v>44437</v>
          </cell>
          <cell r="AG1">
            <v>44438</v>
          </cell>
          <cell r="AH1">
            <v>44439</v>
          </cell>
        </row>
        <row r="2">
          <cell r="D2">
            <v>44409</v>
          </cell>
          <cell r="E2">
            <v>44410</v>
          </cell>
          <cell r="F2">
            <v>44411</v>
          </cell>
          <cell r="G2">
            <v>44412</v>
          </cell>
          <cell r="H2">
            <v>44413</v>
          </cell>
          <cell r="I2">
            <v>44414</v>
          </cell>
          <cell r="J2">
            <v>44415</v>
          </cell>
          <cell r="K2">
            <v>44416</v>
          </cell>
          <cell r="L2">
            <v>44417</v>
          </cell>
          <cell r="M2">
            <v>44418</v>
          </cell>
          <cell r="N2">
            <v>44419</v>
          </cell>
          <cell r="O2">
            <v>44420</v>
          </cell>
          <cell r="P2">
            <v>44421</v>
          </cell>
          <cell r="Q2">
            <v>44422</v>
          </cell>
          <cell r="R2">
            <v>44423</v>
          </cell>
          <cell r="S2">
            <v>44424</v>
          </cell>
          <cell r="T2">
            <v>44425</v>
          </cell>
          <cell r="U2">
            <v>44426</v>
          </cell>
          <cell r="V2">
            <v>44427</v>
          </cell>
          <cell r="W2">
            <v>44428</v>
          </cell>
          <cell r="X2">
            <v>44429</v>
          </cell>
          <cell r="Y2">
            <v>44430</v>
          </cell>
          <cell r="Z2">
            <v>44431</v>
          </cell>
          <cell r="AA2">
            <v>44432</v>
          </cell>
          <cell r="AB2">
            <v>44433</v>
          </cell>
          <cell r="AC2">
            <v>44434</v>
          </cell>
          <cell r="AD2">
            <v>44435</v>
          </cell>
          <cell r="AE2">
            <v>44436</v>
          </cell>
          <cell r="AF2">
            <v>44437</v>
          </cell>
          <cell r="AG2">
            <v>44438</v>
          </cell>
          <cell r="AH2">
            <v>44439</v>
          </cell>
        </row>
        <row r="3">
          <cell r="D3" t="str">
            <v>佐藤恵</v>
          </cell>
          <cell r="E3" t="str">
            <v>長田</v>
          </cell>
          <cell r="F3" t="str">
            <v>中村映</v>
          </cell>
          <cell r="G3" t="str">
            <v>加藤</v>
          </cell>
          <cell r="H3" t="str">
            <v>澤野</v>
          </cell>
          <cell r="I3" t="str">
            <v>佐藤恵</v>
          </cell>
          <cell r="J3" t="str">
            <v>山田</v>
          </cell>
          <cell r="K3" t="str">
            <v>清水</v>
          </cell>
          <cell r="L3" t="str">
            <v>大橋</v>
          </cell>
          <cell r="M3" t="str">
            <v>山本</v>
          </cell>
          <cell r="N3" t="str">
            <v>佐藤恵</v>
          </cell>
          <cell r="O3" t="str">
            <v>佐藤穂</v>
          </cell>
          <cell r="P3" t="str">
            <v>南</v>
          </cell>
          <cell r="Q3" t="str">
            <v>大橋</v>
          </cell>
          <cell r="R3" t="str">
            <v>山下</v>
          </cell>
          <cell r="S3" t="str">
            <v>澤野</v>
          </cell>
          <cell r="T3" t="str">
            <v>平田恵</v>
          </cell>
          <cell r="U3" t="str">
            <v>大橋</v>
          </cell>
          <cell r="V3" t="str">
            <v>庵</v>
          </cell>
          <cell r="W3" t="str">
            <v>薬司</v>
          </cell>
          <cell r="X3" t="str">
            <v>山本</v>
          </cell>
          <cell r="Y3" t="str">
            <v>大橋</v>
          </cell>
          <cell r="Z3" t="str">
            <v>山村</v>
          </cell>
          <cell r="AA3" t="str">
            <v>平田恵</v>
          </cell>
          <cell r="AB3" t="str">
            <v>加藤</v>
          </cell>
          <cell r="AC3" t="str">
            <v>大橋</v>
          </cell>
          <cell r="AD3" t="str">
            <v>中村映</v>
          </cell>
          <cell r="AE3" t="str">
            <v>長田</v>
          </cell>
          <cell r="AF3" t="str">
            <v>南</v>
          </cell>
          <cell r="AG3" t="str">
            <v>田村</v>
          </cell>
          <cell r="AH3" t="str">
            <v>佐藤恵</v>
          </cell>
        </row>
        <row r="4">
          <cell r="D4" t="str">
            <v>佐藤穂</v>
          </cell>
          <cell r="E4" t="str">
            <v>南</v>
          </cell>
          <cell r="F4" t="str">
            <v>山本</v>
          </cell>
          <cell r="G4" t="str">
            <v>本田</v>
          </cell>
          <cell r="H4" t="str">
            <v>西郡</v>
          </cell>
          <cell r="I4" t="str">
            <v>薬司</v>
          </cell>
          <cell r="J4" t="str">
            <v>田村</v>
          </cell>
          <cell r="K4" t="str">
            <v>庵</v>
          </cell>
          <cell r="L4" t="str">
            <v>齊藤</v>
          </cell>
          <cell r="M4" t="str">
            <v>加藤</v>
          </cell>
          <cell r="N4" t="str">
            <v>松木</v>
          </cell>
          <cell r="O4" t="str">
            <v>諸田</v>
          </cell>
          <cell r="P4" t="str">
            <v>西郡</v>
          </cell>
          <cell r="Q4" t="str">
            <v>庵</v>
          </cell>
          <cell r="R4" t="str">
            <v>田村</v>
          </cell>
          <cell r="S4" t="str">
            <v>清水</v>
          </cell>
          <cell r="T4" t="str">
            <v>長田</v>
          </cell>
          <cell r="U4" t="str">
            <v>本田</v>
          </cell>
          <cell r="V4" t="str">
            <v>佐藤恵</v>
          </cell>
          <cell r="W4" t="str">
            <v>西郡</v>
          </cell>
          <cell r="X4" t="str">
            <v>佐藤穂</v>
          </cell>
          <cell r="Y4" t="str">
            <v>松木</v>
          </cell>
          <cell r="Z4" t="str">
            <v>中村映</v>
          </cell>
          <cell r="AA4" t="str">
            <v>龍野</v>
          </cell>
          <cell r="AB4" t="str">
            <v>諸田</v>
          </cell>
          <cell r="AC4" t="str">
            <v>佐藤穂</v>
          </cell>
          <cell r="AD4" t="str">
            <v>山田</v>
          </cell>
          <cell r="AE4" t="str">
            <v>齊藤</v>
          </cell>
          <cell r="AF4" t="str">
            <v>西郡</v>
          </cell>
          <cell r="AG4" t="str">
            <v>松木</v>
          </cell>
          <cell r="AH4" t="str">
            <v>龍野</v>
          </cell>
        </row>
      </sheetData>
      <sheetData sheetId="9">
        <row r="1">
          <cell r="D1">
            <v>44409</v>
          </cell>
          <cell r="E1">
            <v>44410</v>
          </cell>
          <cell r="F1">
            <v>44411</v>
          </cell>
          <cell r="G1">
            <v>44412</v>
          </cell>
          <cell r="H1">
            <v>44413</v>
          </cell>
          <cell r="I1">
            <v>44414</v>
          </cell>
          <cell r="J1">
            <v>44415</v>
          </cell>
          <cell r="K1">
            <v>44416</v>
          </cell>
          <cell r="L1">
            <v>44417</v>
          </cell>
          <cell r="M1">
            <v>44418</v>
          </cell>
          <cell r="N1">
            <v>44419</v>
          </cell>
          <cell r="O1">
            <v>44420</v>
          </cell>
          <cell r="P1">
            <v>44421</v>
          </cell>
          <cell r="Q1">
            <v>44422</v>
          </cell>
          <cell r="R1">
            <v>44423</v>
          </cell>
          <cell r="S1">
            <v>44424</v>
          </cell>
          <cell r="T1">
            <v>44425</v>
          </cell>
          <cell r="U1">
            <v>44426</v>
          </cell>
          <cell r="V1">
            <v>44427</v>
          </cell>
          <cell r="W1">
            <v>44428</v>
          </cell>
          <cell r="X1">
            <v>44429</v>
          </cell>
          <cell r="Y1">
            <v>44430</v>
          </cell>
          <cell r="Z1">
            <v>44431</v>
          </cell>
          <cell r="AA1">
            <v>44432</v>
          </cell>
          <cell r="AB1">
            <v>44433</v>
          </cell>
          <cell r="AC1">
            <v>44434</v>
          </cell>
          <cell r="AD1">
            <v>44435</v>
          </cell>
          <cell r="AE1">
            <v>44436</v>
          </cell>
          <cell r="AF1">
            <v>44437</v>
          </cell>
          <cell r="AG1">
            <v>44438</v>
          </cell>
          <cell r="AH1">
            <v>44439</v>
          </cell>
        </row>
        <row r="2">
          <cell r="D2">
            <v>44409</v>
          </cell>
          <cell r="E2">
            <v>44410</v>
          </cell>
          <cell r="F2">
            <v>44411</v>
          </cell>
          <cell r="G2">
            <v>44412</v>
          </cell>
          <cell r="H2">
            <v>44413</v>
          </cell>
          <cell r="I2">
            <v>44414</v>
          </cell>
          <cell r="J2">
            <v>44415</v>
          </cell>
          <cell r="K2">
            <v>44416</v>
          </cell>
          <cell r="L2">
            <v>44417</v>
          </cell>
          <cell r="M2">
            <v>44418</v>
          </cell>
          <cell r="N2">
            <v>44419</v>
          </cell>
          <cell r="O2">
            <v>44420</v>
          </cell>
          <cell r="P2">
            <v>44421</v>
          </cell>
          <cell r="Q2">
            <v>44422</v>
          </cell>
          <cell r="R2">
            <v>44423</v>
          </cell>
          <cell r="S2">
            <v>44424</v>
          </cell>
          <cell r="T2">
            <v>44425</v>
          </cell>
          <cell r="U2">
            <v>44426</v>
          </cell>
          <cell r="V2">
            <v>44427</v>
          </cell>
          <cell r="W2">
            <v>44428</v>
          </cell>
          <cell r="X2">
            <v>44429</v>
          </cell>
          <cell r="Y2">
            <v>44430</v>
          </cell>
          <cell r="Z2">
            <v>44431</v>
          </cell>
          <cell r="AA2">
            <v>44432</v>
          </cell>
          <cell r="AB2">
            <v>44433</v>
          </cell>
          <cell r="AC2">
            <v>44434</v>
          </cell>
          <cell r="AD2">
            <v>44435</v>
          </cell>
          <cell r="AE2">
            <v>44436</v>
          </cell>
          <cell r="AF2">
            <v>44437</v>
          </cell>
          <cell r="AG2">
            <v>44438</v>
          </cell>
          <cell r="AH2">
            <v>44439</v>
          </cell>
        </row>
        <row r="3">
          <cell r="D3" t="str">
            <v>宮崎</v>
          </cell>
          <cell r="E3" t="str">
            <v>佐藤恵</v>
          </cell>
          <cell r="F3" t="str">
            <v>長田</v>
          </cell>
          <cell r="G3" t="str">
            <v>松木</v>
          </cell>
          <cell r="H3" t="str">
            <v>平田真</v>
          </cell>
          <cell r="I3" t="str">
            <v>本田</v>
          </cell>
          <cell r="J3" t="str">
            <v>加藤</v>
          </cell>
          <cell r="K3" t="str">
            <v>宮崎</v>
          </cell>
          <cell r="L3" t="str">
            <v>宮崎</v>
          </cell>
          <cell r="M3" t="str">
            <v>大橋</v>
          </cell>
          <cell r="N3" t="str">
            <v>山本</v>
          </cell>
          <cell r="O3" t="str">
            <v>清水</v>
          </cell>
          <cell r="P3" t="str">
            <v>田村</v>
          </cell>
          <cell r="Q3" t="str">
            <v>木田</v>
          </cell>
          <cell r="R3" t="str">
            <v>宮崎</v>
          </cell>
          <cell r="S3" t="str">
            <v>庵</v>
          </cell>
          <cell r="T3" t="str">
            <v>澤野</v>
          </cell>
          <cell r="U3" t="str">
            <v>山下</v>
          </cell>
          <cell r="V3" t="str">
            <v>大橋</v>
          </cell>
          <cell r="W3" t="str">
            <v>大橋</v>
          </cell>
          <cell r="X3" t="str">
            <v>木田</v>
          </cell>
          <cell r="Y3" t="str">
            <v>宮崎</v>
          </cell>
          <cell r="Z3" t="str">
            <v>松木</v>
          </cell>
          <cell r="AA3" t="str">
            <v>山村</v>
          </cell>
          <cell r="AB3" t="str">
            <v>南</v>
          </cell>
          <cell r="AC3" t="str">
            <v>山本</v>
          </cell>
          <cell r="AD3" t="str">
            <v>澤野</v>
          </cell>
          <cell r="AE3" t="str">
            <v>木田</v>
          </cell>
          <cell r="AF3" t="str">
            <v>宮崎</v>
          </cell>
          <cell r="AG3" t="str">
            <v>南</v>
          </cell>
          <cell r="AH3" t="str">
            <v>大橋</v>
          </cell>
        </row>
        <row r="4">
          <cell r="D4" t="str">
            <v>山下</v>
          </cell>
          <cell r="E4" t="str">
            <v>佐藤穂</v>
          </cell>
          <cell r="F4" t="str">
            <v>南</v>
          </cell>
          <cell r="G4" t="str">
            <v/>
          </cell>
          <cell r="H4" t="str">
            <v>山田</v>
          </cell>
          <cell r="I4" t="str">
            <v/>
          </cell>
          <cell r="J4" t="str">
            <v>木田</v>
          </cell>
          <cell r="K4" t="str">
            <v>山下</v>
          </cell>
          <cell r="L4" t="str">
            <v>山下</v>
          </cell>
          <cell r="M4" t="str">
            <v>齊藤</v>
          </cell>
          <cell r="N4" t="str">
            <v>加藤</v>
          </cell>
          <cell r="O4" t="str">
            <v>庵</v>
          </cell>
          <cell r="P4" t="str">
            <v>齊藤</v>
          </cell>
          <cell r="Q4" t="str">
            <v/>
          </cell>
          <cell r="R4" t="str">
            <v>山村</v>
          </cell>
          <cell r="S4" t="str">
            <v/>
          </cell>
          <cell r="T4" t="str">
            <v>清水</v>
          </cell>
          <cell r="U4" t="str">
            <v>長田</v>
          </cell>
          <cell r="V4" t="str">
            <v>諸田</v>
          </cell>
          <cell r="W4" t="str">
            <v/>
          </cell>
          <cell r="X4" t="str">
            <v/>
          </cell>
          <cell r="Y4" t="str">
            <v>山下</v>
          </cell>
          <cell r="Z4" t="str">
            <v/>
          </cell>
          <cell r="AA4" t="str">
            <v>中村映</v>
          </cell>
          <cell r="AB4" t="str">
            <v>齊藤</v>
          </cell>
          <cell r="AC4" t="str">
            <v/>
          </cell>
          <cell r="AD4" t="str">
            <v>佐藤穂</v>
          </cell>
          <cell r="AE4" t="str">
            <v/>
          </cell>
          <cell r="AF4" t="str">
            <v>山下</v>
          </cell>
          <cell r="AG4" t="str">
            <v>西郡</v>
          </cell>
          <cell r="AH4" t="str">
            <v>松木</v>
          </cell>
        </row>
        <row r="5">
          <cell r="D5" t="str">
            <v>山村</v>
          </cell>
          <cell r="E5" t="str">
            <v/>
          </cell>
          <cell r="F5" t="str">
            <v/>
          </cell>
          <cell r="G5" t="str">
            <v/>
          </cell>
          <cell r="H5" t="str">
            <v>田村</v>
          </cell>
          <cell r="I5" t="str">
            <v/>
          </cell>
          <cell r="J5" t="str">
            <v/>
          </cell>
          <cell r="K5" t="str">
            <v>山村</v>
          </cell>
          <cell r="L5" t="str">
            <v>山村</v>
          </cell>
          <cell r="M5" t="str">
            <v/>
          </cell>
          <cell r="N5" t="str">
            <v/>
          </cell>
          <cell r="O5" t="str">
            <v/>
          </cell>
          <cell r="P5" t="str">
            <v>諸田</v>
          </cell>
          <cell r="Q5" t="str">
            <v/>
          </cell>
          <cell r="R5" t="str">
            <v>平田恵</v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>平田恵</v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>山村</v>
          </cell>
          <cell r="AG5" t="str">
            <v/>
          </cell>
          <cell r="AH5" t="str">
            <v/>
          </cell>
        </row>
        <row r="6">
          <cell r="D6" t="str">
            <v>平田恵</v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>平田恵</v>
          </cell>
          <cell r="L6" t="str">
            <v>平田恵</v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>長田</v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>長田</v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>平田恵</v>
          </cell>
          <cell r="AG6" t="str">
            <v/>
          </cell>
          <cell r="AH6" t="str">
            <v/>
          </cell>
        </row>
        <row r="7">
          <cell r="D7" t="str">
            <v>中井</v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>長田</v>
          </cell>
          <cell r="L7" t="str">
            <v>長田</v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>中井</v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>中井</v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>長田</v>
          </cell>
          <cell r="AG7" t="str">
            <v/>
          </cell>
          <cell r="AH7" t="str">
            <v/>
          </cell>
        </row>
        <row r="8">
          <cell r="D8" t="str">
            <v>北</v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>中井</v>
          </cell>
          <cell r="L8" t="str">
            <v>中井</v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>北</v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>北</v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>中井</v>
          </cell>
          <cell r="AG8" t="str">
            <v/>
          </cell>
          <cell r="AH8" t="str">
            <v/>
          </cell>
        </row>
        <row r="9">
          <cell r="D9" t="str">
            <v>中村映</v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>北</v>
          </cell>
          <cell r="L9" t="str">
            <v>北</v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>中村映</v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>平田真</v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>北</v>
          </cell>
          <cell r="AG9" t="str">
            <v/>
          </cell>
          <cell r="AH9" t="str">
            <v/>
          </cell>
        </row>
        <row r="10">
          <cell r="D10" t="str">
            <v>平田真</v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>中村映</v>
          </cell>
          <cell r="L10" t="str">
            <v>中村映</v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>平田真</v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>山本</v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>中村映</v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44440</v>
          </cell>
          <cell r="E1">
            <v>44441</v>
          </cell>
          <cell r="F1">
            <v>44442</v>
          </cell>
          <cell r="G1">
            <v>44443</v>
          </cell>
          <cell r="H1">
            <v>44444</v>
          </cell>
          <cell r="I1">
            <v>44445</v>
          </cell>
          <cell r="J1">
            <v>44446</v>
          </cell>
          <cell r="K1">
            <v>44447</v>
          </cell>
          <cell r="L1">
            <v>44448</v>
          </cell>
          <cell r="M1">
            <v>44449</v>
          </cell>
          <cell r="N1">
            <v>44450</v>
          </cell>
          <cell r="O1">
            <v>44451</v>
          </cell>
          <cell r="P1">
            <v>44452</v>
          </cell>
          <cell r="Q1">
            <v>44453</v>
          </cell>
          <cell r="R1">
            <v>44454</v>
          </cell>
          <cell r="S1">
            <v>44455</v>
          </cell>
          <cell r="T1">
            <v>44456</v>
          </cell>
          <cell r="U1">
            <v>44457</v>
          </cell>
          <cell r="V1">
            <v>44458</v>
          </cell>
          <cell r="W1">
            <v>44459</v>
          </cell>
          <cell r="X1">
            <v>44460</v>
          </cell>
          <cell r="Y1">
            <v>44461</v>
          </cell>
          <cell r="Z1">
            <v>44462</v>
          </cell>
          <cell r="AA1">
            <v>44463</v>
          </cell>
          <cell r="AB1">
            <v>44464</v>
          </cell>
          <cell r="AC1">
            <v>44465</v>
          </cell>
          <cell r="AD1">
            <v>44466</v>
          </cell>
          <cell r="AE1">
            <v>44467</v>
          </cell>
          <cell r="AF1">
            <v>44468</v>
          </cell>
          <cell r="AG1">
            <v>44469</v>
          </cell>
          <cell r="AH1" t="str">
            <v/>
          </cell>
        </row>
        <row r="2">
          <cell r="D2">
            <v>44440</v>
          </cell>
          <cell r="E2">
            <v>44441</v>
          </cell>
          <cell r="F2">
            <v>44442</v>
          </cell>
          <cell r="G2">
            <v>44443</v>
          </cell>
          <cell r="H2">
            <v>44444</v>
          </cell>
          <cell r="I2">
            <v>44445</v>
          </cell>
          <cell r="J2">
            <v>44446</v>
          </cell>
          <cell r="K2">
            <v>44447</v>
          </cell>
          <cell r="L2">
            <v>44448</v>
          </cell>
          <cell r="M2">
            <v>44449</v>
          </cell>
          <cell r="N2">
            <v>44450</v>
          </cell>
          <cell r="O2">
            <v>44451</v>
          </cell>
          <cell r="P2">
            <v>44452</v>
          </cell>
          <cell r="Q2">
            <v>44453</v>
          </cell>
          <cell r="R2">
            <v>44454</v>
          </cell>
          <cell r="S2">
            <v>44455</v>
          </cell>
          <cell r="T2">
            <v>44456</v>
          </cell>
          <cell r="U2">
            <v>44457</v>
          </cell>
          <cell r="V2">
            <v>44458</v>
          </cell>
          <cell r="W2">
            <v>44459</v>
          </cell>
          <cell r="X2">
            <v>44460</v>
          </cell>
          <cell r="Y2">
            <v>44461</v>
          </cell>
          <cell r="Z2">
            <v>44462</v>
          </cell>
          <cell r="AA2">
            <v>44463</v>
          </cell>
          <cell r="AB2">
            <v>44464</v>
          </cell>
          <cell r="AC2">
            <v>44465</v>
          </cell>
          <cell r="AD2">
            <v>44466</v>
          </cell>
          <cell r="AE2">
            <v>44467</v>
          </cell>
          <cell r="AF2">
            <v>44468</v>
          </cell>
          <cell r="AG2">
            <v>44469</v>
          </cell>
          <cell r="AH2" t="str">
            <v/>
          </cell>
        </row>
        <row r="3">
          <cell r="D3" t="str">
            <v>清水</v>
          </cell>
          <cell r="E3" t="str">
            <v>平田恵</v>
          </cell>
          <cell r="F3" t="str">
            <v>長田</v>
          </cell>
          <cell r="G3" t="str">
            <v>山田</v>
          </cell>
          <cell r="H3" t="str">
            <v>澤野</v>
          </cell>
          <cell r="I3" t="str">
            <v>中村映</v>
          </cell>
          <cell r="J3" t="str">
            <v>庵</v>
          </cell>
          <cell r="K3" t="str">
            <v>南</v>
          </cell>
          <cell r="L3" t="str">
            <v>山田</v>
          </cell>
          <cell r="M3" t="str">
            <v>山村</v>
          </cell>
          <cell r="N3" t="str">
            <v>澤野</v>
          </cell>
          <cell r="O3" t="str">
            <v>本田</v>
          </cell>
          <cell r="P3" t="str">
            <v>南</v>
          </cell>
          <cell r="Q3" t="str">
            <v>龍野</v>
          </cell>
          <cell r="R3" t="str">
            <v>山下</v>
          </cell>
          <cell r="S3" t="str">
            <v>山本</v>
          </cell>
          <cell r="T3" t="str">
            <v>長田</v>
          </cell>
          <cell r="U3" t="str">
            <v>平田恵</v>
          </cell>
          <cell r="V3" t="str">
            <v>大橋</v>
          </cell>
          <cell r="W3" t="str">
            <v>澤野</v>
          </cell>
          <cell r="X3" t="str">
            <v>佐藤恵</v>
          </cell>
          <cell r="Y3" t="str">
            <v>大橋</v>
          </cell>
          <cell r="Z3" t="str">
            <v>山田</v>
          </cell>
          <cell r="AA3" t="str">
            <v>南</v>
          </cell>
          <cell r="AB3" t="str">
            <v>長田</v>
          </cell>
          <cell r="AC3" t="str">
            <v>田村</v>
          </cell>
          <cell r="AD3" t="str">
            <v>齊藤</v>
          </cell>
          <cell r="AE3" t="str">
            <v>大橋</v>
          </cell>
          <cell r="AF3" t="str">
            <v>佐藤恵</v>
          </cell>
          <cell r="AG3" t="str">
            <v>山本</v>
          </cell>
          <cell r="AH3" t="str">
            <v/>
          </cell>
        </row>
        <row r="4">
          <cell r="D4" t="str">
            <v>庵</v>
          </cell>
          <cell r="E4" t="str">
            <v>大橋</v>
          </cell>
          <cell r="F4" t="str">
            <v>龍野</v>
          </cell>
          <cell r="G4" t="str">
            <v>西郡</v>
          </cell>
          <cell r="H4" t="str">
            <v>加藤</v>
          </cell>
          <cell r="I4" t="str">
            <v>薬司</v>
          </cell>
          <cell r="J4" t="str">
            <v>諸田</v>
          </cell>
          <cell r="K4" t="str">
            <v>佐藤穂</v>
          </cell>
          <cell r="L4" t="str">
            <v>松木</v>
          </cell>
          <cell r="M4" t="str">
            <v>佐藤恵</v>
          </cell>
          <cell r="N4" t="str">
            <v>加藤</v>
          </cell>
          <cell r="O4" t="str">
            <v>西郡</v>
          </cell>
          <cell r="P4" t="str">
            <v>清水</v>
          </cell>
          <cell r="Q4" t="str">
            <v>諸田</v>
          </cell>
          <cell r="R4" t="str">
            <v>佐藤恵</v>
          </cell>
          <cell r="S4" t="str">
            <v>田村</v>
          </cell>
          <cell r="T4" t="str">
            <v>齊藤</v>
          </cell>
          <cell r="U4" t="str">
            <v>西郡</v>
          </cell>
          <cell r="V4" t="str">
            <v>龍野</v>
          </cell>
          <cell r="W4" t="str">
            <v>加藤</v>
          </cell>
          <cell r="X4" t="str">
            <v>薬司</v>
          </cell>
          <cell r="Y4" t="str">
            <v>庵</v>
          </cell>
          <cell r="Z4" t="str">
            <v>佐藤穂</v>
          </cell>
          <cell r="AA4" t="str">
            <v>清水</v>
          </cell>
          <cell r="AB4" t="str">
            <v>庵</v>
          </cell>
          <cell r="AC4" t="str">
            <v>本田</v>
          </cell>
          <cell r="AD4" t="str">
            <v>西郡</v>
          </cell>
          <cell r="AE4" t="str">
            <v>南</v>
          </cell>
          <cell r="AF4" t="str">
            <v>松木</v>
          </cell>
          <cell r="AG4" t="str">
            <v>清水</v>
          </cell>
          <cell r="AH4" t="str">
            <v/>
          </cell>
        </row>
      </sheetData>
      <sheetData sheetId="9">
        <row r="1">
          <cell r="D1">
            <v>44440</v>
          </cell>
          <cell r="E1">
            <v>44441</v>
          </cell>
          <cell r="F1">
            <v>44442</v>
          </cell>
          <cell r="G1">
            <v>44443</v>
          </cell>
          <cell r="H1">
            <v>44444</v>
          </cell>
          <cell r="I1">
            <v>44445</v>
          </cell>
          <cell r="J1">
            <v>44446</v>
          </cell>
          <cell r="K1">
            <v>44447</v>
          </cell>
          <cell r="L1">
            <v>44448</v>
          </cell>
          <cell r="M1">
            <v>44449</v>
          </cell>
          <cell r="N1">
            <v>44450</v>
          </cell>
          <cell r="O1">
            <v>44451</v>
          </cell>
          <cell r="P1">
            <v>44452</v>
          </cell>
          <cell r="Q1">
            <v>44453</v>
          </cell>
          <cell r="R1">
            <v>44454</v>
          </cell>
          <cell r="S1">
            <v>44455</v>
          </cell>
          <cell r="T1">
            <v>44456</v>
          </cell>
          <cell r="U1">
            <v>44457</v>
          </cell>
          <cell r="V1">
            <v>44458</v>
          </cell>
          <cell r="W1">
            <v>44459</v>
          </cell>
          <cell r="X1">
            <v>44460</v>
          </cell>
          <cell r="Y1">
            <v>44461</v>
          </cell>
          <cell r="Z1">
            <v>44462</v>
          </cell>
          <cell r="AA1">
            <v>44463</v>
          </cell>
          <cell r="AB1">
            <v>44464</v>
          </cell>
          <cell r="AC1">
            <v>44465</v>
          </cell>
          <cell r="AD1">
            <v>44466</v>
          </cell>
          <cell r="AE1">
            <v>44467</v>
          </cell>
          <cell r="AF1">
            <v>44468</v>
          </cell>
          <cell r="AG1">
            <v>44469</v>
          </cell>
          <cell r="AH1" t="str">
            <v/>
          </cell>
        </row>
        <row r="2">
          <cell r="D2">
            <v>44440</v>
          </cell>
          <cell r="E2">
            <v>44441</v>
          </cell>
          <cell r="F2">
            <v>44442</v>
          </cell>
          <cell r="G2">
            <v>44443</v>
          </cell>
          <cell r="H2">
            <v>44444</v>
          </cell>
          <cell r="I2">
            <v>44445</v>
          </cell>
          <cell r="J2">
            <v>44446</v>
          </cell>
          <cell r="K2">
            <v>44447</v>
          </cell>
          <cell r="L2">
            <v>44448</v>
          </cell>
          <cell r="M2">
            <v>44449</v>
          </cell>
          <cell r="N2">
            <v>44450</v>
          </cell>
          <cell r="O2">
            <v>44451</v>
          </cell>
          <cell r="P2">
            <v>44452</v>
          </cell>
          <cell r="Q2">
            <v>44453</v>
          </cell>
          <cell r="R2">
            <v>44454</v>
          </cell>
          <cell r="S2">
            <v>44455</v>
          </cell>
          <cell r="T2">
            <v>44456</v>
          </cell>
          <cell r="U2">
            <v>44457</v>
          </cell>
          <cell r="V2">
            <v>44458</v>
          </cell>
          <cell r="W2">
            <v>44459</v>
          </cell>
          <cell r="X2">
            <v>44460</v>
          </cell>
          <cell r="Y2">
            <v>44461</v>
          </cell>
          <cell r="Z2">
            <v>44462</v>
          </cell>
          <cell r="AA2">
            <v>44463</v>
          </cell>
          <cell r="AB2">
            <v>44464</v>
          </cell>
          <cell r="AC2">
            <v>44465</v>
          </cell>
          <cell r="AD2">
            <v>44466</v>
          </cell>
          <cell r="AE2">
            <v>44467</v>
          </cell>
          <cell r="AF2">
            <v>44468</v>
          </cell>
          <cell r="AG2">
            <v>44469</v>
          </cell>
          <cell r="AH2" t="str">
            <v/>
          </cell>
        </row>
        <row r="3">
          <cell r="D3" t="str">
            <v>西郡</v>
          </cell>
          <cell r="E3" t="str">
            <v>清水</v>
          </cell>
          <cell r="F3" t="str">
            <v>田村</v>
          </cell>
          <cell r="G3" t="str">
            <v>木田</v>
          </cell>
          <cell r="H3" t="str">
            <v>宮崎</v>
          </cell>
          <cell r="I3" t="str">
            <v>澤野</v>
          </cell>
          <cell r="J3" t="str">
            <v>中村映</v>
          </cell>
          <cell r="K3" t="str">
            <v>加藤</v>
          </cell>
          <cell r="L3" t="str">
            <v>本田</v>
          </cell>
          <cell r="M3" t="str">
            <v>平田真</v>
          </cell>
          <cell r="N3" t="str">
            <v>能登</v>
          </cell>
          <cell r="O3" t="str">
            <v>宮崎</v>
          </cell>
          <cell r="P3" t="str">
            <v>本田</v>
          </cell>
          <cell r="Q3" t="str">
            <v>南</v>
          </cell>
          <cell r="R3" t="str">
            <v>平田恵</v>
          </cell>
          <cell r="S3" t="str">
            <v>澤野</v>
          </cell>
          <cell r="T3" t="str">
            <v>大橋</v>
          </cell>
          <cell r="U3" t="str">
            <v>能登</v>
          </cell>
          <cell r="V3" t="str">
            <v>宮崎</v>
          </cell>
          <cell r="W3" t="str">
            <v>宮崎</v>
          </cell>
          <cell r="X3" t="str">
            <v>澤野</v>
          </cell>
          <cell r="Y3" t="str">
            <v>佐藤恵</v>
          </cell>
          <cell r="Z3" t="str">
            <v>宮崎</v>
          </cell>
          <cell r="AA3" t="str">
            <v>加藤</v>
          </cell>
          <cell r="AB3" t="str">
            <v>能登</v>
          </cell>
          <cell r="AC3" t="str">
            <v>宮崎</v>
          </cell>
          <cell r="AD3" t="str">
            <v>田村</v>
          </cell>
          <cell r="AE3" t="str">
            <v>齊藤</v>
          </cell>
          <cell r="AF3" t="str">
            <v>長田</v>
          </cell>
          <cell r="AG3" t="str">
            <v>松木</v>
          </cell>
          <cell r="AH3" t="str">
            <v/>
          </cell>
        </row>
        <row r="4">
          <cell r="D4" t="str">
            <v/>
          </cell>
          <cell r="E4" t="str">
            <v>山田</v>
          </cell>
          <cell r="F4" t="str">
            <v>庵</v>
          </cell>
          <cell r="G4" t="str">
            <v/>
          </cell>
          <cell r="H4" t="str">
            <v>山下</v>
          </cell>
          <cell r="I4" t="str">
            <v>加藤</v>
          </cell>
          <cell r="J4" t="str">
            <v/>
          </cell>
          <cell r="K4" t="str">
            <v/>
          </cell>
          <cell r="L4" t="str">
            <v/>
          </cell>
          <cell r="M4" t="str">
            <v>龍野</v>
          </cell>
          <cell r="N4" t="str">
            <v>木田</v>
          </cell>
          <cell r="O4" t="str">
            <v>山下</v>
          </cell>
          <cell r="P4" t="str">
            <v>薬司</v>
          </cell>
          <cell r="Q4" t="str">
            <v/>
          </cell>
          <cell r="R4" t="str">
            <v/>
          </cell>
          <cell r="S4" t="str">
            <v>西郡</v>
          </cell>
          <cell r="T4" t="str">
            <v>澤野</v>
          </cell>
          <cell r="U4" t="str">
            <v>木田</v>
          </cell>
          <cell r="V4" t="str">
            <v>山下</v>
          </cell>
          <cell r="W4" t="str">
            <v>山下</v>
          </cell>
          <cell r="X4" t="str">
            <v>加藤</v>
          </cell>
          <cell r="Y4" t="str">
            <v>薬司</v>
          </cell>
          <cell r="Z4" t="str">
            <v>山下</v>
          </cell>
          <cell r="AA4" t="str">
            <v>佐藤穂</v>
          </cell>
          <cell r="AB4" t="str">
            <v>木田</v>
          </cell>
          <cell r="AC4" t="str">
            <v>山下</v>
          </cell>
          <cell r="AD4" t="str">
            <v>本田</v>
          </cell>
          <cell r="AE4" t="str">
            <v>西郡</v>
          </cell>
          <cell r="AF4" t="str">
            <v>南</v>
          </cell>
          <cell r="AG4" t="str">
            <v/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>山村</v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>山村</v>
          </cell>
          <cell r="P5" t="str">
            <v>西郡</v>
          </cell>
          <cell r="Q5" t="str">
            <v/>
          </cell>
          <cell r="R5" t="str">
            <v/>
          </cell>
          <cell r="S5" t="str">
            <v/>
          </cell>
          <cell r="T5" t="str">
            <v>清水</v>
          </cell>
          <cell r="U5" t="str">
            <v/>
          </cell>
          <cell r="V5" t="str">
            <v>山村</v>
          </cell>
          <cell r="W5" t="str">
            <v>山村</v>
          </cell>
          <cell r="X5" t="str">
            <v/>
          </cell>
          <cell r="Y5" t="str">
            <v>龍野</v>
          </cell>
          <cell r="Z5" t="str">
            <v>山村</v>
          </cell>
          <cell r="AA5" t="str">
            <v>諸田</v>
          </cell>
          <cell r="AB5" t="str">
            <v/>
          </cell>
          <cell r="AC5" t="str">
            <v>山村</v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>平田恵</v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>平田恵</v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>長田</v>
          </cell>
          <cell r="W6" t="str">
            <v>平田恵</v>
          </cell>
          <cell r="X6" t="str">
            <v/>
          </cell>
          <cell r="Y6" t="str">
            <v/>
          </cell>
          <cell r="Z6" t="str">
            <v>平田恵</v>
          </cell>
          <cell r="AA6" t="str">
            <v/>
          </cell>
          <cell r="AB6" t="str">
            <v/>
          </cell>
          <cell r="AC6" t="str">
            <v>平田恵</v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>長田</v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>長田</v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>中井</v>
          </cell>
          <cell r="W7" t="str">
            <v>長田</v>
          </cell>
          <cell r="X7" t="str">
            <v/>
          </cell>
          <cell r="Y7" t="str">
            <v/>
          </cell>
          <cell r="Z7" t="str">
            <v>長田</v>
          </cell>
          <cell r="AA7" t="str">
            <v/>
          </cell>
          <cell r="AB7" t="str">
            <v/>
          </cell>
          <cell r="AC7" t="str">
            <v>長田</v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>中井</v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>中井</v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>北</v>
          </cell>
          <cell r="W8" t="str">
            <v>中井</v>
          </cell>
          <cell r="X8" t="str">
            <v/>
          </cell>
          <cell r="Y8" t="str">
            <v/>
          </cell>
          <cell r="Z8" t="str">
            <v>中井</v>
          </cell>
          <cell r="AA8" t="str">
            <v/>
          </cell>
          <cell r="AB8" t="str">
            <v/>
          </cell>
          <cell r="AC8" t="str">
            <v>中井</v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>北</v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>北</v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>中村映</v>
          </cell>
          <cell r="W9" t="str">
            <v>北</v>
          </cell>
          <cell r="X9" t="str">
            <v/>
          </cell>
          <cell r="Y9" t="str">
            <v/>
          </cell>
          <cell r="Z9" t="str">
            <v>北</v>
          </cell>
          <cell r="AA9" t="str">
            <v/>
          </cell>
          <cell r="AB9" t="str">
            <v/>
          </cell>
          <cell r="AC9" t="str">
            <v>北</v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>大橋</v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>中村映</v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>平田真</v>
          </cell>
          <cell r="W10" t="str">
            <v>中村映</v>
          </cell>
          <cell r="X10" t="str">
            <v/>
          </cell>
          <cell r="Y10" t="str">
            <v/>
          </cell>
          <cell r="Z10" t="str">
            <v>中村映</v>
          </cell>
          <cell r="AA10" t="str">
            <v/>
          </cell>
          <cell r="AB10" t="str">
            <v/>
          </cell>
          <cell r="AC10" t="str">
            <v>中村映</v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44470</v>
          </cell>
          <cell r="E1">
            <v>44471</v>
          </cell>
          <cell r="F1">
            <v>44472</v>
          </cell>
          <cell r="G1">
            <v>44473</v>
          </cell>
          <cell r="H1">
            <v>44474</v>
          </cell>
          <cell r="I1">
            <v>44475</v>
          </cell>
          <cell r="J1">
            <v>44476</v>
          </cell>
          <cell r="K1">
            <v>44477</v>
          </cell>
          <cell r="L1">
            <v>44478</v>
          </cell>
          <cell r="M1">
            <v>44479</v>
          </cell>
          <cell r="N1">
            <v>44480</v>
          </cell>
          <cell r="O1">
            <v>44481</v>
          </cell>
          <cell r="P1">
            <v>44482</v>
          </cell>
          <cell r="Q1">
            <v>44483</v>
          </cell>
          <cell r="R1">
            <v>44484</v>
          </cell>
          <cell r="S1">
            <v>44485</v>
          </cell>
          <cell r="T1">
            <v>44486</v>
          </cell>
          <cell r="U1">
            <v>44487</v>
          </cell>
          <cell r="V1">
            <v>44488</v>
          </cell>
          <cell r="W1">
            <v>44489</v>
          </cell>
          <cell r="X1">
            <v>44490</v>
          </cell>
          <cell r="Y1">
            <v>44491</v>
          </cell>
          <cell r="Z1">
            <v>44492</v>
          </cell>
          <cell r="AA1">
            <v>44493</v>
          </cell>
          <cell r="AB1">
            <v>44494</v>
          </cell>
          <cell r="AC1">
            <v>44495</v>
          </cell>
          <cell r="AD1">
            <v>44496</v>
          </cell>
          <cell r="AE1">
            <v>44497</v>
          </cell>
          <cell r="AF1">
            <v>44498</v>
          </cell>
          <cell r="AG1">
            <v>44499</v>
          </cell>
          <cell r="AH1">
            <v>44500</v>
          </cell>
        </row>
        <row r="2">
          <cell r="D2">
            <v>44470</v>
          </cell>
          <cell r="E2">
            <v>44471</v>
          </cell>
          <cell r="F2">
            <v>44472</v>
          </cell>
          <cell r="G2">
            <v>44473</v>
          </cell>
          <cell r="H2">
            <v>44474</v>
          </cell>
          <cell r="I2">
            <v>44475</v>
          </cell>
          <cell r="J2">
            <v>44476</v>
          </cell>
          <cell r="K2">
            <v>44477</v>
          </cell>
          <cell r="L2">
            <v>44478</v>
          </cell>
          <cell r="M2">
            <v>44479</v>
          </cell>
          <cell r="N2">
            <v>44480</v>
          </cell>
          <cell r="O2">
            <v>44481</v>
          </cell>
          <cell r="P2">
            <v>44482</v>
          </cell>
          <cell r="Q2">
            <v>44483</v>
          </cell>
          <cell r="R2">
            <v>44484</v>
          </cell>
          <cell r="S2">
            <v>44485</v>
          </cell>
          <cell r="T2">
            <v>44486</v>
          </cell>
          <cell r="U2">
            <v>44487</v>
          </cell>
          <cell r="V2">
            <v>44488</v>
          </cell>
          <cell r="W2">
            <v>44489</v>
          </cell>
          <cell r="X2">
            <v>44490</v>
          </cell>
          <cell r="Y2">
            <v>44491</v>
          </cell>
          <cell r="Z2">
            <v>44492</v>
          </cell>
          <cell r="AA2">
            <v>44493</v>
          </cell>
          <cell r="AB2">
            <v>44494</v>
          </cell>
          <cell r="AC2">
            <v>44495</v>
          </cell>
          <cell r="AD2">
            <v>44496</v>
          </cell>
          <cell r="AE2">
            <v>44497</v>
          </cell>
          <cell r="AF2">
            <v>44498</v>
          </cell>
          <cell r="AG2">
            <v>44499</v>
          </cell>
          <cell r="AH2">
            <v>44500</v>
          </cell>
        </row>
        <row r="3">
          <cell r="D3" t="str">
            <v>大橋</v>
          </cell>
          <cell r="E3" t="str">
            <v>南</v>
          </cell>
          <cell r="F3" t="str">
            <v>中村映</v>
          </cell>
          <cell r="G3" t="str">
            <v>加藤</v>
          </cell>
          <cell r="H3" t="str">
            <v>佐藤恵</v>
          </cell>
          <cell r="I3" t="str">
            <v>大橋</v>
          </cell>
          <cell r="J3" t="str">
            <v>山村</v>
          </cell>
          <cell r="K3" t="str">
            <v>長田</v>
          </cell>
          <cell r="L3" t="str">
            <v>澤野</v>
          </cell>
          <cell r="M3" t="str">
            <v>南</v>
          </cell>
          <cell r="N3" t="str">
            <v>田村</v>
          </cell>
          <cell r="O3" t="str">
            <v>大橋</v>
          </cell>
          <cell r="P3" t="str">
            <v>佐藤恵</v>
          </cell>
          <cell r="Q3" t="str">
            <v>平田恵</v>
          </cell>
          <cell r="R3" t="str">
            <v>中村映</v>
          </cell>
          <cell r="S3" t="str">
            <v>山下</v>
          </cell>
          <cell r="T3" t="str">
            <v>大橋</v>
          </cell>
          <cell r="U3" t="str">
            <v>佐藤恵</v>
          </cell>
          <cell r="V3" t="str">
            <v>中村映</v>
          </cell>
          <cell r="W3" t="str">
            <v>清水</v>
          </cell>
          <cell r="X3" t="str">
            <v>長田</v>
          </cell>
          <cell r="Y3" t="str">
            <v>山田</v>
          </cell>
          <cell r="Z3" t="str">
            <v>山村</v>
          </cell>
          <cell r="AA3" t="str">
            <v>佐藤恵</v>
          </cell>
          <cell r="AB3" t="str">
            <v>大橋</v>
          </cell>
          <cell r="AC3" t="str">
            <v>清水</v>
          </cell>
          <cell r="AD3" t="str">
            <v>齊藤</v>
          </cell>
          <cell r="AE3" t="str">
            <v>澤野</v>
          </cell>
          <cell r="AF3" t="str">
            <v>長田</v>
          </cell>
          <cell r="AG3" t="str">
            <v>山田</v>
          </cell>
          <cell r="AH3" t="str">
            <v>大橋</v>
          </cell>
        </row>
        <row r="4">
          <cell r="D4" t="str">
            <v>薬司</v>
          </cell>
          <cell r="E4" t="str">
            <v>田村</v>
          </cell>
          <cell r="F4" t="str">
            <v>松木</v>
          </cell>
          <cell r="G4" t="str">
            <v>諸田</v>
          </cell>
          <cell r="H4" t="str">
            <v>龍野</v>
          </cell>
          <cell r="I4" t="str">
            <v>佐藤穂</v>
          </cell>
          <cell r="J4" t="str">
            <v>松木</v>
          </cell>
          <cell r="K4" t="str">
            <v>薬司</v>
          </cell>
          <cell r="L4" t="str">
            <v>清水</v>
          </cell>
          <cell r="M4" t="str">
            <v>西郡</v>
          </cell>
          <cell r="N4" t="str">
            <v>龍野</v>
          </cell>
          <cell r="O4" t="str">
            <v>山本</v>
          </cell>
          <cell r="P4" t="str">
            <v>本田</v>
          </cell>
          <cell r="Q4" t="str">
            <v>庵</v>
          </cell>
          <cell r="R4" t="str">
            <v>薬司</v>
          </cell>
          <cell r="S4" t="str">
            <v>西郡</v>
          </cell>
          <cell r="T4" t="str">
            <v>齊藤</v>
          </cell>
          <cell r="U4" t="str">
            <v>松木</v>
          </cell>
          <cell r="V4" t="str">
            <v>龍野</v>
          </cell>
          <cell r="W4" t="str">
            <v>本田</v>
          </cell>
          <cell r="X4" t="str">
            <v>庵</v>
          </cell>
          <cell r="Y4" t="str">
            <v>西郡</v>
          </cell>
          <cell r="Z4" t="str">
            <v>加藤</v>
          </cell>
          <cell r="AA4" t="str">
            <v>佐藤穂</v>
          </cell>
          <cell r="AB4" t="str">
            <v>山本</v>
          </cell>
          <cell r="AC4" t="str">
            <v>薬司</v>
          </cell>
          <cell r="AD4" t="str">
            <v>西郡</v>
          </cell>
          <cell r="AE4" t="str">
            <v>加藤</v>
          </cell>
          <cell r="AF4" t="str">
            <v>諸田</v>
          </cell>
          <cell r="AG4" t="str">
            <v>田村</v>
          </cell>
          <cell r="AH4" t="str">
            <v>庵</v>
          </cell>
        </row>
      </sheetData>
      <sheetData sheetId="9">
        <row r="1">
          <cell r="D1">
            <v>44470</v>
          </cell>
          <cell r="E1">
            <v>44471</v>
          </cell>
          <cell r="F1">
            <v>44472</v>
          </cell>
          <cell r="G1">
            <v>44473</v>
          </cell>
          <cell r="H1">
            <v>44474</v>
          </cell>
          <cell r="I1">
            <v>44475</v>
          </cell>
          <cell r="J1">
            <v>44476</v>
          </cell>
          <cell r="K1">
            <v>44477</v>
          </cell>
          <cell r="L1">
            <v>44478</v>
          </cell>
          <cell r="M1">
            <v>44479</v>
          </cell>
          <cell r="N1">
            <v>44480</v>
          </cell>
          <cell r="O1">
            <v>44481</v>
          </cell>
          <cell r="P1">
            <v>44482</v>
          </cell>
          <cell r="Q1">
            <v>44483</v>
          </cell>
          <cell r="R1">
            <v>44484</v>
          </cell>
          <cell r="S1">
            <v>44485</v>
          </cell>
          <cell r="T1">
            <v>44486</v>
          </cell>
          <cell r="U1">
            <v>44487</v>
          </cell>
          <cell r="V1">
            <v>44488</v>
          </cell>
          <cell r="W1">
            <v>44489</v>
          </cell>
          <cell r="X1">
            <v>44490</v>
          </cell>
          <cell r="Y1">
            <v>44491</v>
          </cell>
          <cell r="Z1">
            <v>44492</v>
          </cell>
          <cell r="AA1">
            <v>44493</v>
          </cell>
          <cell r="AB1">
            <v>44494</v>
          </cell>
          <cell r="AC1">
            <v>44495</v>
          </cell>
          <cell r="AD1">
            <v>44496</v>
          </cell>
          <cell r="AE1">
            <v>44497</v>
          </cell>
          <cell r="AF1">
            <v>44498</v>
          </cell>
          <cell r="AG1">
            <v>44499</v>
          </cell>
          <cell r="AH1">
            <v>44500</v>
          </cell>
        </row>
        <row r="2">
          <cell r="D2">
            <v>44470</v>
          </cell>
          <cell r="E2">
            <v>44471</v>
          </cell>
          <cell r="F2">
            <v>44472</v>
          </cell>
          <cell r="G2">
            <v>44473</v>
          </cell>
          <cell r="H2">
            <v>44474</v>
          </cell>
          <cell r="I2">
            <v>44475</v>
          </cell>
          <cell r="J2">
            <v>44476</v>
          </cell>
          <cell r="K2">
            <v>44477</v>
          </cell>
          <cell r="L2">
            <v>44478</v>
          </cell>
          <cell r="M2">
            <v>44479</v>
          </cell>
          <cell r="N2">
            <v>44480</v>
          </cell>
          <cell r="O2">
            <v>44481</v>
          </cell>
          <cell r="P2">
            <v>44482</v>
          </cell>
          <cell r="Q2">
            <v>44483</v>
          </cell>
          <cell r="R2">
            <v>44484</v>
          </cell>
          <cell r="S2">
            <v>44485</v>
          </cell>
          <cell r="T2">
            <v>44486</v>
          </cell>
          <cell r="U2">
            <v>44487</v>
          </cell>
          <cell r="V2">
            <v>44488</v>
          </cell>
          <cell r="W2">
            <v>44489</v>
          </cell>
          <cell r="X2">
            <v>44490</v>
          </cell>
          <cell r="Y2">
            <v>44491</v>
          </cell>
          <cell r="Z2">
            <v>44492</v>
          </cell>
          <cell r="AA2">
            <v>44493</v>
          </cell>
          <cell r="AB2">
            <v>44494</v>
          </cell>
          <cell r="AC2">
            <v>44495</v>
          </cell>
          <cell r="AD2">
            <v>44496</v>
          </cell>
          <cell r="AE2">
            <v>44497</v>
          </cell>
          <cell r="AF2">
            <v>44498</v>
          </cell>
          <cell r="AG2">
            <v>44499</v>
          </cell>
          <cell r="AH2">
            <v>44500</v>
          </cell>
        </row>
        <row r="3">
          <cell r="D3" t="str">
            <v>山本</v>
          </cell>
          <cell r="E3" t="str">
            <v>木田</v>
          </cell>
          <cell r="F3" t="str">
            <v>宮崎</v>
          </cell>
          <cell r="G3" t="str">
            <v>中村映</v>
          </cell>
          <cell r="H3" t="str">
            <v>山田</v>
          </cell>
          <cell r="I3" t="str">
            <v>山田</v>
          </cell>
          <cell r="J3" t="str">
            <v/>
          </cell>
          <cell r="K3" t="str">
            <v>山村</v>
          </cell>
          <cell r="L3" t="str">
            <v>能登</v>
          </cell>
          <cell r="M3" t="str">
            <v>宮崎</v>
          </cell>
          <cell r="N3" t="str">
            <v>南</v>
          </cell>
          <cell r="O3" t="str">
            <v>田村</v>
          </cell>
          <cell r="P3" t="str">
            <v>澤野</v>
          </cell>
          <cell r="Q3" t="str">
            <v>南</v>
          </cell>
          <cell r="R3" t="str">
            <v>平田恵</v>
          </cell>
          <cell r="S3" t="str">
            <v>木田</v>
          </cell>
          <cell r="T3" t="str">
            <v>宮崎</v>
          </cell>
          <cell r="U3" t="str">
            <v>大橋</v>
          </cell>
          <cell r="V3" t="str">
            <v>佐藤恵</v>
          </cell>
          <cell r="W3" t="str">
            <v>平田真</v>
          </cell>
          <cell r="X3" t="str">
            <v/>
          </cell>
          <cell r="Y3" t="str">
            <v>山下</v>
          </cell>
          <cell r="Z3" t="str">
            <v>能登</v>
          </cell>
          <cell r="AA3" t="str">
            <v>宮崎</v>
          </cell>
          <cell r="AB3" t="str">
            <v>山田</v>
          </cell>
          <cell r="AC3" t="str">
            <v>大橋</v>
          </cell>
          <cell r="AD3" t="str">
            <v>清水</v>
          </cell>
          <cell r="AE3" t="str">
            <v>田村</v>
          </cell>
          <cell r="AF3" t="str">
            <v>加藤</v>
          </cell>
          <cell r="AG3" t="str">
            <v>木田</v>
          </cell>
          <cell r="AH3" t="str">
            <v>宮崎</v>
          </cell>
        </row>
        <row r="4">
          <cell r="D4" t="str">
            <v/>
          </cell>
          <cell r="E4" t="str">
            <v/>
          </cell>
          <cell r="F4" t="str">
            <v>山下</v>
          </cell>
          <cell r="G4" t="str">
            <v>松木</v>
          </cell>
          <cell r="H4" t="str">
            <v>諸田</v>
          </cell>
          <cell r="I4" t="str">
            <v/>
          </cell>
          <cell r="J4" t="str">
            <v/>
          </cell>
          <cell r="K4" t="str">
            <v>田村</v>
          </cell>
          <cell r="L4" t="str">
            <v>木田</v>
          </cell>
          <cell r="M4" t="str">
            <v>山下</v>
          </cell>
          <cell r="N4" t="str">
            <v>西郡</v>
          </cell>
          <cell r="O4" t="str">
            <v>龍野</v>
          </cell>
          <cell r="P4" t="str">
            <v>加藤</v>
          </cell>
          <cell r="Q4" t="str">
            <v>清水</v>
          </cell>
          <cell r="R4" t="str">
            <v>齊藤</v>
          </cell>
          <cell r="S4" t="str">
            <v/>
          </cell>
          <cell r="T4" t="str">
            <v>山下</v>
          </cell>
          <cell r="U4" t="str">
            <v>齊藤</v>
          </cell>
          <cell r="V4" t="str">
            <v>松木</v>
          </cell>
          <cell r="W4" t="str">
            <v>西郡</v>
          </cell>
          <cell r="X4" t="str">
            <v/>
          </cell>
          <cell r="Y4" t="str">
            <v/>
          </cell>
          <cell r="Z4" t="str">
            <v>木田</v>
          </cell>
          <cell r="AA4" t="str">
            <v>山下</v>
          </cell>
          <cell r="AB4" t="str">
            <v>佐藤恵</v>
          </cell>
          <cell r="AC4" t="str">
            <v>山本</v>
          </cell>
          <cell r="AD4" t="str">
            <v>庵</v>
          </cell>
          <cell r="AE4" t="str">
            <v/>
          </cell>
          <cell r="AF4" t="str">
            <v/>
          </cell>
          <cell r="AG4" t="str">
            <v/>
          </cell>
          <cell r="AH4" t="str">
            <v>山下</v>
          </cell>
        </row>
        <row r="5">
          <cell r="D5" t="str">
            <v/>
          </cell>
          <cell r="E5" t="str">
            <v/>
          </cell>
          <cell r="F5" t="str">
            <v>山村</v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>山村</v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>山村</v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>山村</v>
          </cell>
          <cell r="AB5" t="str">
            <v>佐藤穂</v>
          </cell>
          <cell r="AC5" t="str">
            <v>佐藤穂</v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>山村</v>
          </cell>
        </row>
        <row r="6">
          <cell r="D6" t="str">
            <v/>
          </cell>
          <cell r="E6" t="str">
            <v/>
          </cell>
          <cell r="F6" t="str">
            <v>平田恵</v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>平田恵</v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>平田恵</v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>平田恵</v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>長田</v>
          </cell>
        </row>
        <row r="7">
          <cell r="D7" t="str">
            <v/>
          </cell>
          <cell r="E7" t="str">
            <v/>
          </cell>
          <cell r="F7" t="str">
            <v>長田</v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>長田</v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>長田</v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>長田</v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>中井</v>
          </cell>
        </row>
        <row r="8">
          <cell r="D8" t="str">
            <v/>
          </cell>
          <cell r="E8" t="str">
            <v/>
          </cell>
          <cell r="F8" t="str">
            <v>中井</v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>中井</v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>中井</v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>中井</v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>北</v>
          </cell>
        </row>
        <row r="9">
          <cell r="D9" t="str">
            <v/>
          </cell>
          <cell r="E9" t="str">
            <v/>
          </cell>
          <cell r="F9" t="str">
            <v>北</v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>北</v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>北</v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>北</v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>中村映</v>
          </cell>
        </row>
        <row r="10">
          <cell r="D10" t="str">
            <v/>
          </cell>
          <cell r="E10" t="str">
            <v/>
          </cell>
          <cell r="F10" t="str">
            <v>平田真</v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>中村映</v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>中村映</v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>中村映</v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>平田真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44501</v>
          </cell>
          <cell r="E1">
            <v>44502</v>
          </cell>
          <cell r="F1">
            <v>44503</v>
          </cell>
          <cell r="G1">
            <v>44504</v>
          </cell>
          <cell r="H1">
            <v>44505</v>
          </cell>
          <cell r="I1">
            <v>44506</v>
          </cell>
          <cell r="J1">
            <v>44507</v>
          </cell>
          <cell r="K1">
            <v>44508</v>
          </cell>
          <cell r="L1">
            <v>44509</v>
          </cell>
          <cell r="M1">
            <v>44510</v>
          </cell>
          <cell r="N1">
            <v>44511</v>
          </cell>
          <cell r="O1">
            <v>44512</v>
          </cell>
          <cell r="P1">
            <v>44513</v>
          </cell>
          <cell r="Q1">
            <v>44514</v>
          </cell>
          <cell r="R1">
            <v>44515</v>
          </cell>
          <cell r="S1">
            <v>44516</v>
          </cell>
          <cell r="T1">
            <v>44517</v>
          </cell>
          <cell r="U1">
            <v>44518</v>
          </cell>
          <cell r="V1">
            <v>44519</v>
          </cell>
          <cell r="W1">
            <v>44520</v>
          </cell>
          <cell r="X1">
            <v>44521</v>
          </cell>
          <cell r="Y1">
            <v>44522</v>
          </cell>
          <cell r="Z1">
            <v>44523</v>
          </cell>
          <cell r="AA1">
            <v>44524</v>
          </cell>
          <cell r="AB1">
            <v>44525</v>
          </cell>
          <cell r="AC1">
            <v>44526</v>
          </cell>
          <cell r="AD1">
            <v>44527</v>
          </cell>
          <cell r="AE1">
            <v>44528</v>
          </cell>
          <cell r="AF1">
            <v>44529</v>
          </cell>
          <cell r="AG1">
            <v>44530</v>
          </cell>
          <cell r="AH1" t="str">
            <v/>
          </cell>
        </row>
        <row r="2">
          <cell r="D2">
            <v>44501</v>
          </cell>
          <cell r="E2">
            <v>44502</v>
          </cell>
          <cell r="F2">
            <v>44503</v>
          </cell>
          <cell r="G2">
            <v>44504</v>
          </cell>
          <cell r="H2">
            <v>44505</v>
          </cell>
          <cell r="I2">
            <v>44506</v>
          </cell>
          <cell r="J2">
            <v>44507</v>
          </cell>
          <cell r="K2">
            <v>44508</v>
          </cell>
          <cell r="L2">
            <v>44509</v>
          </cell>
          <cell r="M2">
            <v>44510</v>
          </cell>
          <cell r="N2">
            <v>44511</v>
          </cell>
          <cell r="O2">
            <v>44512</v>
          </cell>
          <cell r="P2">
            <v>44513</v>
          </cell>
          <cell r="Q2">
            <v>44514</v>
          </cell>
          <cell r="R2">
            <v>44515</v>
          </cell>
          <cell r="S2">
            <v>44516</v>
          </cell>
          <cell r="T2">
            <v>44517</v>
          </cell>
          <cell r="U2">
            <v>44518</v>
          </cell>
          <cell r="V2">
            <v>44519</v>
          </cell>
          <cell r="W2">
            <v>44520</v>
          </cell>
          <cell r="X2">
            <v>44521</v>
          </cell>
          <cell r="Y2">
            <v>44522</v>
          </cell>
          <cell r="Z2">
            <v>44523</v>
          </cell>
          <cell r="AA2">
            <v>44524</v>
          </cell>
          <cell r="AB2">
            <v>44525</v>
          </cell>
          <cell r="AC2">
            <v>44526</v>
          </cell>
          <cell r="AD2">
            <v>44527</v>
          </cell>
          <cell r="AE2">
            <v>44528</v>
          </cell>
          <cell r="AF2">
            <v>44529</v>
          </cell>
          <cell r="AG2">
            <v>44530</v>
          </cell>
          <cell r="AH2" t="str">
            <v/>
          </cell>
        </row>
        <row r="3">
          <cell r="D3" t="str">
            <v>平田恵</v>
          </cell>
          <cell r="E3" t="str">
            <v>佐藤恵</v>
          </cell>
          <cell r="F3" t="str">
            <v>長田</v>
          </cell>
          <cell r="G3" t="str">
            <v>大橋</v>
          </cell>
          <cell r="H3" t="str">
            <v>澤野</v>
          </cell>
          <cell r="I3" t="str">
            <v>加藤</v>
          </cell>
          <cell r="J3" t="str">
            <v>山本</v>
          </cell>
          <cell r="K3" t="str">
            <v>清水</v>
          </cell>
          <cell r="L3" t="str">
            <v>山村</v>
          </cell>
          <cell r="M3" t="str">
            <v>中村映</v>
          </cell>
          <cell r="N3" t="str">
            <v>平田恵</v>
          </cell>
          <cell r="O3" t="str">
            <v>齊藤</v>
          </cell>
          <cell r="P3" t="str">
            <v>山本</v>
          </cell>
          <cell r="Q3" t="str">
            <v>大橋</v>
          </cell>
          <cell r="R3" t="str">
            <v>長田</v>
          </cell>
          <cell r="S3" t="str">
            <v>山田</v>
          </cell>
          <cell r="T3" t="str">
            <v>加藤</v>
          </cell>
          <cell r="U3" t="str">
            <v>平田恵</v>
          </cell>
          <cell r="V3" t="str">
            <v>清水</v>
          </cell>
          <cell r="W3" t="str">
            <v>大橋</v>
          </cell>
          <cell r="X3" t="str">
            <v>山下</v>
          </cell>
          <cell r="Y3" t="str">
            <v>田村</v>
          </cell>
          <cell r="Z3" t="str">
            <v>大橋</v>
          </cell>
          <cell r="AA3" t="str">
            <v>山田</v>
          </cell>
          <cell r="AB3" t="str">
            <v>龍野</v>
          </cell>
          <cell r="AC3" t="str">
            <v>山村</v>
          </cell>
          <cell r="AD3" t="str">
            <v>佐藤穂</v>
          </cell>
          <cell r="AE3" t="str">
            <v>大橋</v>
          </cell>
          <cell r="AF3" t="str">
            <v>南</v>
          </cell>
          <cell r="AG3" t="str">
            <v>山本</v>
          </cell>
          <cell r="AH3" t="str">
            <v/>
          </cell>
        </row>
        <row r="4">
          <cell r="D4" t="str">
            <v>清水</v>
          </cell>
          <cell r="E4" t="str">
            <v>諸田</v>
          </cell>
          <cell r="F4" t="str">
            <v>薬司</v>
          </cell>
          <cell r="G4" t="str">
            <v>龍野</v>
          </cell>
          <cell r="H4" t="str">
            <v>西郡</v>
          </cell>
          <cell r="I4" t="str">
            <v>松木</v>
          </cell>
          <cell r="J4" t="str">
            <v>佐藤恵</v>
          </cell>
          <cell r="K4" t="str">
            <v>本田</v>
          </cell>
          <cell r="L4" t="str">
            <v>大橋</v>
          </cell>
          <cell r="M4" t="str">
            <v>諸田</v>
          </cell>
          <cell r="N4" t="str">
            <v>南</v>
          </cell>
          <cell r="O4" t="str">
            <v>加藤</v>
          </cell>
          <cell r="P4" t="str">
            <v>田村</v>
          </cell>
          <cell r="Q4" t="str">
            <v>澤野</v>
          </cell>
          <cell r="R4" t="str">
            <v>薬司</v>
          </cell>
          <cell r="S4" t="str">
            <v>佐藤恵</v>
          </cell>
          <cell r="T4" t="str">
            <v>佐藤穂</v>
          </cell>
          <cell r="U4" t="str">
            <v>松木</v>
          </cell>
          <cell r="V4" t="str">
            <v>庵</v>
          </cell>
          <cell r="W4" t="str">
            <v>龍野</v>
          </cell>
          <cell r="X4" t="str">
            <v>西郡</v>
          </cell>
          <cell r="Y4" t="str">
            <v>庵</v>
          </cell>
          <cell r="Z4" t="str">
            <v>本田</v>
          </cell>
          <cell r="AA4" t="str">
            <v>佐藤恵</v>
          </cell>
          <cell r="AB4" t="str">
            <v>松木</v>
          </cell>
          <cell r="AC4" t="str">
            <v>長田</v>
          </cell>
          <cell r="AD4" t="str">
            <v>西郡</v>
          </cell>
          <cell r="AE4" t="str">
            <v>齊藤</v>
          </cell>
          <cell r="AF4" t="str">
            <v>加藤</v>
          </cell>
          <cell r="AG4" t="str">
            <v>清水</v>
          </cell>
          <cell r="AH4" t="str">
            <v/>
          </cell>
        </row>
      </sheetData>
      <sheetData sheetId="9">
        <row r="1">
          <cell r="D1">
            <v>44501</v>
          </cell>
          <cell r="E1">
            <v>44502</v>
          </cell>
          <cell r="F1">
            <v>44503</v>
          </cell>
          <cell r="G1">
            <v>44504</v>
          </cell>
          <cell r="H1">
            <v>44505</v>
          </cell>
          <cell r="I1">
            <v>44506</v>
          </cell>
          <cell r="J1">
            <v>44507</v>
          </cell>
          <cell r="K1">
            <v>44508</v>
          </cell>
          <cell r="L1">
            <v>44509</v>
          </cell>
          <cell r="M1">
            <v>44510</v>
          </cell>
          <cell r="N1">
            <v>44511</v>
          </cell>
          <cell r="O1">
            <v>44512</v>
          </cell>
          <cell r="P1">
            <v>44513</v>
          </cell>
          <cell r="Q1">
            <v>44514</v>
          </cell>
          <cell r="R1">
            <v>44515</v>
          </cell>
          <cell r="S1">
            <v>44516</v>
          </cell>
          <cell r="T1">
            <v>44517</v>
          </cell>
          <cell r="U1">
            <v>44518</v>
          </cell>
          <cell r="V1">
            <v>44519</v>
          </cell>
          <cell r="W1">
            <v>44520</v>
          </cell>
          <cell r="X1">
            <v>44521</v>
          </cell>
          <cell r="Y1">
            <v>44522</v>
          </cell>
          <cell r="Z1">
            <v>44523</v>
          </cell>
          <cell r="AA1">
            <v>44524</v>
          </cell>
          <cell r="AB1">
            <v>44525</v>
          </cell>
          <cell r="AC1">
            <v>44526</v>
          </cell>
          <cell r="AD1">
            <v>44527</v>
          </cell>
          <cell r="AE1">
            <v>44528</v>
          </cell>
          <cell r="AF1">
            <v>44529</v>
          </cell>
          <cell r="AG1">
            <v>44530</v>
          </cell>
          <cell r="AH1" t="str">
            <v/>
          </cell>
        </row>
        <row r="2">
          <cell r="D2">
            <v>44501</v>
          </cell>
          <cell r="E2">
            <v>44502</v>
          </cell>
          <cell r="F2">
            <v>44503</v>
          </cell>
          <cell r="G2">
            <v>44504</v>
          </cell>
          <cell r="H2">
            <v>44505</v>
          </cell>
          <cell r="I2">
            <v>44506</v>
          </cell>
          <cell r="J2">
            <v>44507</v>
          </cell>
          <cell r="K2">
            <v>44508</v>
          </cell>
          <cell r="L2">
            <v>44509</v>
          </cell>
          <cell r="M2">
            <v>44510</v>
          </cell>
          <cell r="N2">
            <v>44511</v>
          </cell>
          <cell r="O2">
            <v>44512</v>
          </cell>
          <cell r="P2">
            <v>44513</v>
          </cell>
          <cell r="Q2">
            <v>44514</v>
          </cell>
          <cell r="R2">
            <v>44515</v>
          </cell>
          <cell r="S2">
            <v>44516</v>
          </cell>
          <cell r="T2">
            <v>44517</v>
          </cell>
          <cell r="U2">
            <v>44518</v>
          </cell>
          <cell r="V2">
            <v>44519</v>
          </cell>
          <cell r="W2">
            <v>44520</v>
          </cell>
          <cell r="X2">
            <v>44521</v>
          </cell>
          <cell r="Y2">
            <v>44522</v>
          </cell>
          <cell r="Z2">
            <v>44523</v>
          </cell>
          <cell r="AA2">
            <v>44524</v>
          </cell>
          <cell r="AB2">
            <v>44525</v>
          </cell>
          <cell r="AC2">
            <v>44526</v>
          </cell>
          <cell r="AD2">
            <v>44527</v>
          </cell>
          <cell r="AE2">
            <v>44528</v>
          </cell>
          <cell r="AF2">
            <v>44529</v>
          </cell>
          <cell r="AG2">
            <v>44530</v>
          </cell>
          <cell r="AH2" t="str">
            <v/>
          </cell>
        </row>
        <row r="3">
          <cell r="D3" t="str">
            <v>大橋</v>
          </cell>
          <cell r="E3" t="str">
            <v>南</v>
          </cell>
          <cell r="F3" t="str">
            <v>宮崎</v>
          </cell>
          <cell r="G3" t="str">
            <v>長田</v>
          </cell>
          <cell r="H3" t="str">
            <v>大橋</v>
          </cell>
          <cell r="I3" t="str">
            <v>能登</v>
          </cell>
          <cell r="J3" t="str">
            <v>宮崎</v>
          </cell>
          <cell r="K3" t="str">
            <v>山本</v>
          </cell>
          <cell r="L3" t="str">
            <v>清水</v>
          </cell>
          <cell r="M3" t="str">
            <v>庵</v>
          </cell>
          <cell r="N3" t="str">
            <v>田村</v>
          </cell>
          <cell r="O3" t="str">
            <v>大橋</v>
          </cell>
          <cell r="P3" t="str">
            <v>木田</v>
          </cell>
          <cell r="Q3" t="str">
            <v>宮崎</v>
          </cell>
          <cell r="R3" t="str">
            <v>澤野</v>
          </cell>
          <cell r="S3" t="str">
            <v>長田</v>
          </cell>
          <cell r="T3" t="str">
            <v>平田真</v>
          </cell>
          <cell r="U3" t="str">
            <v>大橋</v>
          </cell>
          <cell r="V3" t="str">
            <v>林</v>
          </cell>
          <cell r="W3" t="str">
            <v>能登</v>
          </cell>
          <cell r="X3" t="str">
            <v>宮崎</v>
          </cell>
          <cell r="Y3" t="str">
            <v>薬司</v>
          </cell>
          <cell r="Z3" t="str">
            <v>宮崎</v>
          </cell>
          <cell r="AA3" t="str">
            <v>山下</v>
          </cell>
          <cell r="AB3" t="str">
            <v>山田</v>
          </cell>
          <cell r="AC3" t="str">
            <v>澤野</v>
          </cell>
          <cell r="AD3" t="str">
            <v>木田</v>
          </cell>
          <cell r="AE3" t="str">
            <v>宮崎</v>
          </cell>
          <cell r="AF3" t="str">
            <v>大橋</v>
          </cell>
          <cell r="AG3" t="str">
            <v>南</v>
          </cell>
          <cell r="AH3" t="str">
            <v/>
          </cell>
        </row>
        <row r="4">
          <cell r="D4" t="str">
            <v>庵</v>
          </cell>
          <cell r="E4" t="str">
            <v/>
          </cell>
          <cell r="F4" t="str">
            <v>山下</v>
          </cell>
          <cell r="G4" t="str">
            <v>薬司</v>
          </cell>
          <cell r="H4" t="str">
            <v>龍野</v>
          </cell>
          <cell r="I4" t="str">
            <v>木田</v>
          </cell>
          <cell r="J4" t="str">
            <v>山下</v>
          </cell>
          <cell r="K4" t="str">
            <v>佐藤恵</v>
          </cell>
          <cell r="L4" t="str">
            <v>齊藤</v>
          </cell>
          <cell r="M4" t="str">
            <v>本田</v>
          </cell>
          <cell r="N4" t="str">
            <v>松木</v>
          </cell>
          <cell r="O4" t="str">
            <v>諸田</v>
          </cell>
          <cell r="P4" t="str">
            <v/>
          </cell>
          <cell r="Q4" t="str">
            <v>山下</v>
          </cell>
          <cell r="R4" t="str">
            <v>龍野</v>
          </cell>
          <cell r="S4" t="str">
            <v>田村</v>
          </cell>
          <cell r="T4" t="str">
            <v/>
          </cell>
          <cell r="U4" t="str">
            <v>山本</v>
          </cell>
          <cell r="V4" t="str">
            <v>西郡</v>
          </cell>
          <cell r="W4" t="str">
            <v>木田</v>
          </cell>
          <cell r="X4" t="str">
            <v>山村</v>
          </cell>
          <cell r="Y4" t="str">
            <v>西郡</v>
          </cell>
          <cell r="Z4" t="str">
            <v>山下</v>
          </cell>
          <cell r="AA4" t="str">
            <v>大橋</v>
          </cell>
          <cell r="AB4" t="str">
            <v>佐藤恵</v>
          </cell>
          <cell r="AC4" t="str">
            <v>薬司</v>
          </cell>
          <cell r="AD4" t="str">
            <v/>
          </cell>
          <cell r="AE4" t="str">
            <v>山下</v>
          </cell>
          <cell r="AF4" t="str">
            <v>龍野</v>
          </cell>
          <cell r="AG4" t="str">
            <v>加藤</v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>山村</v>
          </cell>
          <cell r="G5" t="str">
            <v/>
          </cell>
          <cell r="H5" t="str">
            <v/>
          </cell>
          <cell r="I5" t="str">
            <v/>
          </cell>
          <cell r="J5" t="str">
            <v>山村</v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>山村</v>
          </cell>
          <cell r="R5" t="str">
            <v/>
          </cell>
          <cell r="S5" t="str">
            <v/>
          </cell>
          <cell r="T5" t="str">
            <v/>
          </cell>
          <cell r="U5" t="str">
            <v>加藤</v>
          </cell>
          <cell r="V5" t="str">
            <v/>
          </cell>
          <cell r="W5" t="str">
            <v/>
          </cell>
          <cell r="X5" t="str">
            <v>平田恵</v>
          </cell>
          <cell r="Y5" t="str">
            <v/>
          </cell>
          <cell r="Z5" t="str">
            <v>山村</v>
          </cell>
          <cell r="AA5" t="str">
            <v>本田</v>
          </cell>
          <cell r="AB5" t="str">
            <v>佐藤穂</v>
          </cell>
          <cell r="AC5" t="str">
            <v/>
          </cell>
          <cell r="AD5" t="str">
            <v/>
          </cell>
          <cell r="AE5" t="str">
            <v>山村</v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>平田恵</v>
          </cell>
          <cell r="G6" t="str">
            <v/>
          </cell>
          <cell r="H6" t="str">
            <v/>
          </cell>
          <cell r="I6" t="str">
            <v/>
          </cell>
          <cell r="J6" t="str">
            <v>平田恵</v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>平田恵</v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>長田</v>
          </cell>
          <cell r="Y6" t="str">
            <v/>
          </cell>
          <cell r="Z6" t="str">
            <v>平田恵</v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>平田恵</v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>中井</v>
          </cell>
          <cell r="G7" t="str">
            <v/>
          </cell>
          <cell r="H7" t="str">
            <v/>
          </cell>
          <cell r="I7" t="str">
            <v/>
          </cell>
          <cell r="J7" t="str">
            <v>長田</v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>中井</v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>中井</v>
          </cell>
          <cell r="Y7" t="str">
            <v/>
          </cell>
          <cell r="Z7" t="str">
            <v>長田</v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>長田</v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>北</v>
          </cell>
          <cell r="G8" t="str">
            <v/>
          </cell>
          <cell r="H8" t="str">
            <v/>
          </cell>
          <cell r="I8" t="str">
            <v/>
          </cell>
          <cell r="J8" t="str">
            <v>中井</v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>北</v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>北</v>
          </cell>
          <cell r="Y8" t="str">
            <v/>
          </cell>
          <cell r="Z8" t="str">
            <v>中井</v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>中井</v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>中村映</v>
          </cell>
          <cell r="G9" t="str">
            <v/>
          </cell>
          <cell r="H9" t="str">
            <v/>
          </cell>
          <cell r="I9" t="str">
            <v/>
          </cell>
          <cell r="J9" t="str">
            <v>北</v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>中村映</v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>中村映</v>
          </cell>
          <cell r="Y9" t="str">
            <v/>
          </cell>
          <cell r="Z9" t="str">
            <v>北</v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>北</v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>平田真</v>
          </cell>
          <cell r="G10" t="str">
            <v/>
          </cell>
          <cell r="H10" t="str">
            <v/>
          </cell>
          <cell r="I10" t="str">
            <v/>
          </cell>
          <cell r="J10" t="str">
            <v>中村映</v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>山本</v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>平田真</v>
          </cell>
          <cell r="Y10" t="str">
            <v/>
          </cell>
          <cell r="Z10" t="str">
            <v>中村映</v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>中村映</v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44531</v>
          </cell>
          <cell r="E1">
            <v>44532</v>
          </cell>
          <cell r="F1">
            <v>44533</v>
          </cell>
          <cell r="G1">
            <v>44534</v>
          </cell>
          <cell r="H1">
            <v>44535</v>
          </cell>
          <cell r="I1">
            <v>44536</v>
          </cell>
          <cell r="J1">
            <v>44537</v>
          </cell>
          <cell r="K1">
            <v>44538</v>
          </cell>
          <cell r="L1">
            <v>44539</v>
          </cell>
          <cell r="M1">
            <v>44540</v>
          </cell>
          <cell r="N1">
            <v>44541</v>
          </cell>
          <cell r="O1">
            <v>44542</v>
          </cell>
          <cell r="P1">
            <v>44543</v>
          </cell>
          <cell r="Q1">
            <v>44544</v>
          </cell>
          <cell r="R1">
            <v>44545</v>
          </cell>
          <cell r="S1">
            <v>44546</v>
          </cell>
          <cell r="T1">
            <v>44547</v>
          </cell>
          <cell r="U1">
            <v>44548</v>
          </cell>
          <cell r="V1">
            <v>44549</v>
          </cell>
          <cell r="W1">
            <v>44550</v>
          </cell>
          <cell r="X1">
            <v>44551</v>
          </cell>
          <cell r="Y1">
            <v>44552</v>
          </cell>
          <cell r="Z1">
            <v>44553</v>
          </cell>
          <cell r="AA1">
            <v>44554</v>
          </cell>
          <cell r="AB1">
            <v>44555</v>
          </cell>
          <cell r="AC1">
            <v>44556</v>
          </cell>
          <cell r="AD1">
            <v>44557</v>
          </cell>
          <cell r="AE1">
            <v>44558</v>
          </cell>
          <cell r="AF1">
            <v>44559</v>
          </cell>
          <cell r="AG1">
            <v>44560</v>
          </cell>
          <cell r="AH1">
            <v>44561</v>
          </cell>
        </row>
        <row r="2">
          <cell r="D2">
            <v>44531</v>
          </cell>
          <cell r="E2">
            <v>44532</v>
          </cell>
          <cell r="F2">
            <v>44533</v>
          </cell>
          <cell r="G2">
            <v>44534</v>
          </cell>
          <cell r="H2">
            <v>44535</v>
          </cell>
          <cell r="I2">
            <v>44536</v>
          </cell>
          <cell r="J2">
            <v>44537</v>
          </cell>
          <cell r="K2">
            <v>44538</v>
          </cell>
          <cell r="L2">
            <v>44539</v>
          </cell>
          <cell r="M2">
            <v>44540</v>
          </cell>
          <cell r="N2">
            <v>44541</v>
          </cell>
          <cell r="O2">
            <v>44542</v>
          </cell>
          <cell r="P2">
            <v>44543</v>
          </cell>
          <cell r="Q2">
            <v>44544</v>
          </cell>
          <cell r="R2">
            <v>44545</v>
          </cell>
          <cell r="S2">
            <v>44546</v>
          </cell>
          <cell r="T2">
            <v>44547</v>
          </cell>
          <cell r="U2">
            <v>44548</v>
          </cell>
          <cell r="V2">
            <v>44549</v>
          </cell>
          <cell r="W2">
            <v>44550</v>
          </cell>
          <cell r="X2">
            <v>44551</v>
          </cell>
          <cell r="Y2">
            <v>44552</v>
          </cell>
          <cell r="Z2">
            <v>44553</v>
          </cell>
          <cell r="AA2">
            <v>44554</v>
          </cell>
          <cell r="AB2">
            <v>44555</v>
          </cell>
          <cell r="AC2">
            <v>44556</v>
          </cell>
          <cell r="AD2">
            <v>44557</v>
          </cell>
          <cell r="AE2">
            <v>44558</v>
          </cell>
          <cell r="AF2">
            <v>44559</v>
          </cell>
          <cell r="AG2">
            <v>44560</v>
          </cell>
          <cell r="AH2">
            <v>44561</v>
          </cell>
        </row>
        <row r="3">
          <cell r="D3" t="str">
            <v>平田恵</v>
          </cell>
          <cell r="E3" t="str">
            <v>中村映</v>
          </cell>
          <cell r="F3" t="str">
            <v>大橋</v>
          </cell>
          <cell r="G3" t="str">
            <v>長田</v>
          </cell>
          <cell r="H3" t="str">
            <v>平田恵</v>
          </cell>
          <cell r="I3" t="str">
            <v>澤野</v>
          </cell>
          <cell r="J3" t="str">
            <v>清水</v>
          </cell>
          <cell r="K3" t="str">
            <v>大橋</v>
          </cell>
          <cell r="L3" t="str">
            <v>齊藤</v>
          </cell>
          <cell r="M3" t="str">
            <v>長田</v>
          </cell>
          <cell r="N3" t="str">
            <v>南</v>
          </cell>
          <cell r="O3" t="str">
            <v>大橋</v>
          </cell>
          <cell r="P3" t="str">
            <v>清水</v>
          </cell>
          <cell r="Q3" t="str">
            <v>薬司</v>
          </cell>
          <cell r="R3" t="str">
            <v>山下</v>
          </cell>
          <cell r="S3" t="str">
            <v>平田恵</v>
          </cell>
          <cell r="T3" t="str">
            <v>本田</v>
          </cell>
          <cell r="U3" t="str">
            <v>大橋</v>
          </cell>
          <cell r="V3" t="str">
            <v>南</v>
          </cell>
          <cell r="W3" t="str">
            <v>長田</v>
          </cell>
          <cell r="X3" t="str">
            <v>大橋</v>
          </cell>
          <cell r="Y3" t="str">
            <v>龍野</v>
          </cell>
          <cell r="Z3" t="str">
            <v>加藤</v>
          </cell>
          <cell r="AA3" t="str">
            <v>山村</v>
          </cell>
          <cell r="AB3" t="str">
            <v>本田</v>
          </cell>
          <cell r="AC3" t="str">
            <v>大橋</v>
          </cell>
          <cell r="AD3" t="str">
            <v>山本</v>
          </cell>
          <cell r="AE3" t="str">
            <v>南</v>
          </cell>
          <cell r="AF3" t="str">
            <v>山田</v>
          </cell>
          <cell r="AG3" t="str">
            <v>庵</v>
          </cell>
          <cell r="AH3" t="str">
            <v>大橋</v>
          </cell>
        </row>
        <row r="4">
          <cell r="D4" t="str">
            <v>田村</v>
          </cell>
          <cell r="E4" t="str">
            <v>松木</v>
          </cell>
          <cell r="F4" t="str">
            <v>庵</v>
          </cell>
          <cell r="G4" t="str">
            <v>龍野</v>
          </cell>
          <cell r="H4" t="str">
            <v>佐藤恵</v>
          </cell>
          <cell r="I4" t="str">
            <v>加藤</v>
          </cell>
          <cell r="J4" t="str">
            <v>諸田</v>
          </cell>
          <cell r="K4" t="str">
            <v>佐藤穂</v>
          </cell>
          <cell r="L4" t="str">
            <v>西郡</v>
          </cell>
          <cell r="M4" t="str">
            <v>山本</v>
          </cell>
          <cell r="N4" t="str">
            <v>田村</v>
          </cell>
          <cell r="O4" t="str">
            <v>龍野</v>
          </cell>
          <cell r="P4" t="str">
            <v>山田</v>
          </cell>
          <cell r="Q4" t="str">
            <v>西郡</v>
          </cell>
          <cell r="R4" t="str">
            <v>加藤</v>
          </cell>
          <cell r="S4" t="str">
            <v>佐藤恵</v>
          </cell>
          <cell r="T4" t="str">
            <v>松木</v>
          </cell>
          <cell r="U4" t="str">
            <v>庵</v>
          </cell>
          <cell r="V4" t="str">
            <v>田村</v>
          </cell>
          <cell r="W4" t="str">
            <v>齊藤</v>
          </cell>
          <cell r="X4" t="str">
            <v>澤野</v>
          </cell>
          <cell r="Y4" t="str">
            <v>西郡</v>
          </cell>
          <cell r="Z4" t="str">
            <v>松木</v>
          </cell>
          <cell r="AA4" t="str">
            <v>清水</v>
          </cell>
          <cell r="AB4" t="str">
            <v>佐藤穂</v>
          </cell>
          <cell r="AC4" t="str">
            <v>諸田</v>
          </cell>
          <cell r="AD4" t="str">
            <v>西郡</v>
          </cell>
          <cell r="AE4" t="str">
            <v>田村</v>
          </cell>
          <cell r="AF4" t="str">
            <v>齊藤</v>
          </cell>
          <cell r="AG4" t="str">
            <v>佐藤恵</v>
          </cell>
          <cell r="AH4" t="str">
            <v>薬司</v>
          </cell>
        </row>
      </sheetData>
      <sheetData sheetId="9">
        <row r="1">
          <cell r="D1">
            <v>44531</v>
          </cell>
          <cell r="E1">
            <v>44532</v>
          </cell>
          <cell r="F1">
            <v>44533</v>
          </cell>
          <cell r="G1">
            <v>44534</v>
          </cell>
          <cell r="H1">
            <v>44535</v>
          </cell>
          <cell r="I1">
            <v>44536</v>
          </cell>
          <cell r="J1">
            <v>44537</v>
          </cell>
          <cell r="K1">
            <v>44538</v>
          </cell>
          <cell r="L1">
            <v>44539</v>
          </cell>
          <cell r="M1">
            <v>44540</v>
          </cell>
          <cell r="N1">
            <v>44541</v>
          </cell>
          <cell r="O1">
            <v>44542</v>
          </cell>
          <cell r="P1">
            <v>44543</v>
          </cell>
          <cell r="Q1">
            <v>44544</v>
          </cell>
          <cell r="R1">
            <v>44545</v>
          </cell>
          <cell r="S1">
            <v>44546</v>
          </cell>
          <cell r="T1">
            <v>44547</v>
          </cell>
          <cell r="U1">
            <v>44548</v>
          </cell>
          <cell r="V1">
            <v>44549</v>
          </cell>
          <cell r="W1">
            <v>44550</v>
          </cell>
          <cell r="X1">
            <v>44551</v>
          </cell>
          <cell r="Y1">
            <v>44552</v>
          </cell>
          <cell r="Z1">
            <v>44553</v>
          </cell>
          <cell r="AA1">
            <v>44554</v>
          </cell>
          <cell r="AB1">
            <v>44555</v>
          </cell>
          <cell r="AC1">
            <v>44556</v>
          </cell>
          <cell r="AD1">
            <v>44557</v>
          </cell>
          <cell r="AE1">
            <v>44558</v>
          </cell>
          <cell r="AF1">
            <v>44559</v>
          </cell>
          <cell r="AG1">
            <v>44560</v>
          </cell>
          <cell r="AH1">
            <v>44561</v>
          </cell>
        </row>
        <row r="2">
          <cell r="D2">
            <v>44531</v>
          </cell>
          <cell r="E2">
            <v>44532</v>
          </cell>
          <cell r="F2">
            <v>44533</v>
          </cell>
          <cell r="G2">
            <v>44534</v>
          </cell>
          <cell r="H2">
            <v>44535</v>
          </cell>
          <cell r="I2">
            <v>44536</v>
          </cell>
          <cell r="J2">
            <v>44537</v>
          </cell>
          <cell r="K2">
            <v>44538</v>
          </cell>
          <cell r="L2">
            <v>44539</v>
          </cell>
          <cell r="M2">
            <v>44540</v>
          </cell>
          <cell r="N2">
            <v>44541</v>
          </cell>
          <cell r="O2">
            <v>44542</v>
          </cell>
          <cell r="P2">
            <v>44543</v>
          </cell>
          <cell r="Q2">
            <v>44544</v>
          </cell>
          <cell r="R2">
            <v>44545</v>
          </cell>
          <cell r="S2">
            <v>44546</v>
          </cell>
          <cell r="T2">
            <v>44547</v>
          </cell>
          <cell r="U2">
            <v>44548</v>
          </cell>
          <cell r="V2">
            <v>44549</v>
          </cell>
          <cell r="W2">
            <v>44550</v>
          </cell>
          <cell r="X2">
            <v>44551</v>
          </cell>
          <cell r="Y2">
            <v>44552</v>
          </cell>
          <cell r="Z2">
            <v>44553</v>
          </cell>
          <cell r="AA2">
            <v>44554</v>
          </cell>
          <cell r="AB2">
            <v>44555</v>
          </cell>
          <cell r="AC2">
            <v>44556</v>
          </cell>
          <cell r="AD2">
            <v>44557</v>
          </cell>
          <cell r="AE2">
            <v>44558</v>
          </cell>
          <cell r="AF2">
            <v>44559</v>
          </cell>
          <cell r="AG2">
            <v>44560</v>
          </cell>
          <cell r="AH2">
            <v>44561</v>
          </cell>
        </row>
        <row r="3">
          <cell r="D3" t="str">
            <v>齊藤</v>
          </cell>
          <cell r="E3" t="str">
            <v>平田恵</v>
          </cell>
          <cell r="F3" t="str">
            <v/>
          </cell>
          <cell r="G3" t="str">
            <v>能登</v>
          </cell>
          <cell r="H3" t="str">
            <v>宮崎</v>
          </cell>
          <cell r="I3" t="str">
            <v>平田恵</v>
          </cell>
          <cell r="J3" t="str">
            <v>長田</v>
          </cell>
          <cell r="K3" t="str">
            <v>庵</v>
          </cell>
          <cell r="L3" t="str">
            <v>南</v>
          </cell>
          <cell r="M3" t="str">
            <v>大橋</v>
          </cell>
          <cell r="N3" t="str">
            <v>木田</v>
          </cell>
          <cell r="O3" t="str">
            <v>宮崎</v>
          </cell>
          <cell r="P3" t="str">
            <v>大橋</v>
          </cell>
          <cell r="Q3" t="str">
            <v>南</v>
          </cell>
          <cell r="R3" t="str">
            <v>薬司</v>
          </cell>
          <cell r="S3" t="str">
            <v>平田真</v>
          </cell>
          <cell r="T3" t="str">
            <v>林</v>
          </cell>
          <cell r="U3" t="str">
            <v>能登</v>
          </cell>
          <cell r="V3" t="str">
            <v>宮崎</v>
          </cell>
          <cell r="W3" t="str">
            <v>南</v>
          </cell>
          <cell r="X3" t="str">
            <v>長田</v>
          </cell>
          <cell r="Y3" t="str">
            <v>澤野</v>
          </cell>
          <cell r="Z3" t="str">
            <v>齊藤</v>
          </cell>
          <cell r="AA3" t="str">
            <v>大橋</v>
          </cell>
          <cell r="AB3" t="str">
            <v>木田</v>
          </cell>
          <cell r="AC3" t="str">
            <v>宮崎</v>
          </cell>
          <cell r="AD3" t="str">
            <v>大橋</v>
          </cell>
          <cell r="AE3" t="str">
            <v>大橋</v>
          </cell>
          <cell r="AF3" t="str">
            <v>宮崎</v>
          </cell>
          <cell r="AG3" t="str">
            <v>宮崎</v>
          </cell>
          <cell r="AH3" t="str">
            <v>宮崎</v>
          </cell>
        </row>
        <row r="4">
          <cell r="D4" t="str">
            <v/>
          </cell>
          <cell r="E4" t="str">
            <v>田村</v>
          </cell>
          <cell r="F4" t="str">
            <v/>
          </cell>
          <cell r="G4" t="str">
            <v>木田</v>
          </cell>
          <cell r="H4" t="str">
            <v>山下</v>
          </cell>
          <cell r="I4" t="str">
            <v>佐藤恵</v>
          </cell>
          <cell r="J4" t="str">
            <v>澤野</v>
          </cell>
          <cell r="K4" t="str">
            <v/>
          </cell>
          <cell r="L4" t="str">
            <v>庵</v>
          </cell>
          <cell r="M4" t="str">
            <v>諸田</v>
          </cell>
          <cell r="N4" t="str">
            <v/>
          </cell>
          <cell r="O4" t="str">
            <v>山下</v>
          </cell>
          <cell r="P4" t="str">
            <v/>
          </cell>
          <cell r="Q4" t="str">
            <v>清水</v>
          </cell>
          <cell r="R4" t="str">
            <v/>
          </cell>
          <cell r="S4" t="str">
            <v>龍野</v>
          </cell>
          <cell r="T4" t="str">
            <v>佐藤恵</v>
          </cell>
          <cell r="U4" t="str">
            <v>木田</v>
          </cell>
          <cell r="V4" t="str">
            <v>山下</v>
          </cell>
          <cell r="W4" t="str">
            <v>田村</v>
          </cell>
          <cell r="X4" t="str">
            <v>齊藤</v>
          </cell>
          <cell r="Y4" t="str">
            <v/>
          </cell>
          <cell r="Z4" t="str">
            <v>佐藤恵</v>
          </cell>
          <cell r="AA4" t="str">
            <v>薬司</v>
          </cell>
          <cell r="AB4" t="str">
            <v/>
          </cell>
          <cell r="AC4" t="str">
            <v>山下</v>
          </cell>
          <cell r="AD4" t="str">
            <v>山田</v>
          </cell>
          <cell r="AE4" t="str">
            <v>山本</v>
          </cell>
          <cell r="AF4" t="str">
            <v>山下</v>
          </cell>
          <cell r="AG4" t="str">
            <v>山下</v>
          </cell>
          <cell r="AH4" t="str">
            <v>山下</v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>山村</v>
          </cell>
          <cell r="I5" t="str">
            <v/>
          </cell>
          <cell r="J5" t="str">
            <v>加藤</v>
          </cell>
          <cell r="K5" t="str">
            <v/>
          </cell>
          <cell r="L5" t="str">
            <v>松木</v>
          </cell>
          <cell r="M5" t="str">
            <v/>
          </cell>
          <cell r="N5" t="str">
            <v/>
          </cell>
          <cell r="O5" t="str">
            <v>山村</v>
          </cell>
          <cell r="P5" t="str">
            <v/>
          </cell>
          <cell r="Q5" t="str">
            <v>山田</v>
          </cell>
          <cell r="R5" t="str">
            <v/>
          </cell>
          <cell r="S5" t="str">
            <v/>
          </cell>
          <cell r="T5" t="str">
            <v>佐藤穂</v>
          </cell>
          <cell r="U5" t="str">
            <v/>
          </cell>
          <cell r="V5" t="str">
            <v>山村</v>
          </cell>
          <cell r="W5" t="str">
            <v>庵</v>
          </cell>
          <cell r="X5" t="str">
            <v/>
          </cell>
          <cell r="Y5" t="str">
            <v/>
          </cell>
          <cell r="Z5" t="str">
            <v>本田</v>
          </cell>
          <cell r="AA5" t="str">
            <v>龍野</v>
          </cell>
          <cell r="AB5" t="str">
            <v/>
          </cell>
          <cell r="AC5" t="str">
            <v>山村</v>
          </cell>
          <cell r="AD5" t="str">
            <v>諸田</v>
          </cell>
          <cell r="AE5" t="str">
            <v>加藤</v>
          </cell>
          <cell r="AF5" t="str">
            <v>山村</v>
          </cell>
          <cell r="AG5" t="str">
            <v>山村</v>
          </cell>
          <cell r="AH5" t="str">
            <v>山村</v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>長田</v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>平田恵</v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>平田恵</v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>長田</v>
          </cell>
          <cell r="AD6" t="str">
            <v/>
          </cell>
          <cell r="AE6" t="str">
            <v>西郡</v>
          </cell>
          <cell r="AF6" t="str">
            <v>平田恵</v>
          </cell>
          <cell r="AG6" t="str">
            <v>平田恵</v>
          </cell>
          <cell r="AH6" t="str">
            <v>平田恵</v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>中井</v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>長田</v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>中井</v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>中井</v>
          </cell>
          <cell r="AD7" t="str">
            <v/>
          </cell>
          <cell r="AE7" t="str">
            <v/>
          </cell>
          <cell r="AF7" t="str">
            <v>長田</v>
          </cell>
          <cell r="AG7" t="str">
            <v>長田</v>
          </cell>
          <cell r="AH7" t="str">
            <v>長田</v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>北</v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>中井</v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>北</v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>北</v>
          </cell>
          <cell r="AD8" t="str">
            <v/>
          </cell>
          <cell r="AE8" t="str">
            <v/>
          </cell>
          <cell r="AF8" t="str">
            <v>中井</v>
          </cell>
          <cell r="AG8" t="str">
            <v>中井</v>
          </cell>
          <cell r="AH8" t="str">
            <v>中井</v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>中村映</v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>北</v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>中村映</v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>中村映</v>
          </cell>
          <cell r="AD9" t="str">
            <v/>
          </cell>
          <cell r="AE9" t="str">
            <v/>
          </cell>
          <cell r="AF9" t="str">
            <v>北</v>
          </cell>
          <cell r="AG9" t="str">
            <v>北</v>
          </cell>
          <cell r="AH9" t="str">
            <v>北</v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>平田真</v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>中村映</v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>平田真</v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>平田真</v>
          </cell>
          <cell r="AD10" t="str">
            <v/>
          </cell>
          <cell r="AE10" t="str">
            <v/>
          </cell>
          <cell r="AF10" t="str">
            <v>中村映</v>
          </cell>
          <cell r="AG10" t="str">
            <v>中村映</v>
          </cell>
          <cell r="AH10" t="str">
            <v>中村映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44562</v>
          </cell>
          <cell r="E1">
            <v>44563</v>
          </cell>
          <cell r="F1">
            <v>44564</v>
          </cell>
          <cell r="G1">
            <v>44565</v>
          </cell>
          <cell r="H1">
            <v>44566</v>
          </cell>
          <cell r="I1">
            <v>44567</v>
          </cell>
          <cell r="J1">
            <v>44568</v>
          </cell>
          <cell r="K1">
            <v>44569</v>
          </cell>
          <cell r="L1">
            <v>44570</v>
          </cell>
          <cell r="M1">
            <v>44571</v>
          </cell>
          <cell r="N1">
            <v>44572</v>
          </cell>
          <cell r="O1">
            <v>44573</v>
          </cell>
          <cell r="P1">
            <v>44574</v>
          </cell>
          <cell r="Q1">
            <v>44575</v>
          </cell>
          <cell r="R1">
            <v>44576</v>
          </cell>
          <cell r="S1">
            <v>44577</v>
          </cell>
          <cell r="T1">
            <v>44578</v>
          </cell>
          <cell r="U1">
            <v>44579</v>
          </cell>
          <cell r="V1">
            <v>44580</v>
          </cell>
          <cell r="W1">
            <v>44581</v>
          </cell>
          <cell r="X1">
            <v>44582</v>
          </cell>
          <cell r="Y1">
            <v>44583</v>
          </cell>
          <cell r="Z1">
            <v>44584</v>
          </cell>
          <cell r="AA1">
            <v>44585</v>
          </cell>
          <cell r="AB1">
            <v>44586</v>
          </cell>
          <cell r="AC1">
            <v>44587</v>
          </cell>
          <cell r="AD1">
            <v>44588</v>
          </cell>
          <cell r="AE1">
            <v>44589</v>
          </cell>
          <cell r="AF1">
            <v>44590</v>
          </cell>
          <cell r="AG1">
            <v>44591</v>
          </cell>
          <cell r="AH1">
            <v>44592</v>
          </cell>
        </row>
        <row r="2">
          <cell r="D2">
            <v>44562</v>
          </cell>
          <cell r="E2">
            <v>44563</v>
          </cell>
          <cell r="F2">
            <v>44564</v>
          </cell>
          <cell r="G2">
            <v>44565</v>
          </cell>
          <cell r="H2">
            <v>44566</v>
          </cell>
          <cell r="I2">
            <v>44567</v>
          </cell>
          <cell r="J2">
            <v>44568</v>
          </cell>
          <cell r="K2">
            <v>44569</v>
          </cell>
          <cell r="L2">
            <v>44570</v>
          </cell>
          <cell r="M2">
            <v>44571</v>
          </cell>
          <cell r="N2">
            <v>44572</v>
          </cell>
          <cell r="O2">
            <v>44573</v>
          </cell>
          <cell r="P2">
            <v>44574</v>
          </cell>
          <cell r="Q2">
            <v>44575</v>
          </cell>
          <cell r="R2">
            <v>44576</v>
          </cell>
          <cell r="S2">
            <v>44577</v>
          </cell>
          <cell r="T2">
            <v>44578</v>
          </cell>
          <cell r="U2">
            <v>44579</v>
          </cell>
          <cell r="V2">
            <v>44580</v>
          </cell>
          <cell r="W2">
            <v>44581</v>
          </cell>
          <cell r="X2">
            <v>44582</v>
          </cell>
          <cell r="Y2">
            <v>44583</v>
          </cell>
          <cell r="Z2">
            <v>44584</v>
          </cell>
          <cell r="AA2">
            <v>44585</v>
          </cell>
          <cell r="AB2">
            <v>44586</v>
          </cell>
          <cell r="AC2">
            <v>44587</v>
          </cell>
          <cell r="AD2">
            <v>44588</v>
          </cell>
          <cell r="AE2">
            <v>44589</v>
          </cell>
          <cell r="AF2">
            <v>44590</v>
          </cell>
          <cell r="AG2">
            <v>44591</v>
          </cell>
          <cell r="AH2">
            <v>44592</v>
          </cell>
        </row>
        <row r="3">
          <cell r="D3" t="str">
            <v>加藤</v>
          </cell>
          <cell r="E3" t="str">
            <v>長田</v>
          </cell>
          <cell r="F3" t="str">
            <v>平田恵</v>
          </cell>
          <cell r="G3" t="str">
            <v>山本</v>
          </cell>
          <cell r="H3" t="str">
            <v>澤野</v>
          </cell>
          <cell r="I3" t="str">
            <v>清水</v>
          </cell>
          <cell r="J3" t="str">
            <v>中村映</v>
          </cell>
          <cell r="K3" t="str">
            <v>南</v>
          </cell>
          <cell r="L3" t="str">
            <v>大橋</v>
          </cell>
          <cell r="M3" t="str">
            <v>山下</v>
          </cell>
          <cell r="N3" t="str">
            <v>佐藤恵</v>
          </cell>
          <cell r="O3" t="str">
            <v>山田</v>
          </cell>
          <cell r="P3" t="str">
            <v>田村</v>
          </cell>
          <cell r="Q3" t="str">
            <v>大橋</v>
          </cell>
          <cell r="R3" t="str">
            <v>山村</v>
          </cell>
          <cell r="S3" t="str">
            <v>田村</v>
          </cell>
          <cell r="T3" t="str">
            <v>大橋</v>
          </cell>
          <cell r="U3" t="str">
            <v>長田</v>
          </cell>
          <cell r="V3" t="str">
            <v>南</v>
          </cell>
          <cell r="W3" t="str">
            <v>加藤</v>
          </cell>
          <cell r="X3" t="str">
            <v>澤野</v>
          </cell>
          <cell r="Y3" t="str">
            <v>山田</v>
          </cell>
          <cell r="Z3" t="str">
            <v>大橋</v>
          </cell>
          <cell r="AA3" t="str">
            <v>田村</v>
          </cell>
          <cell r="AB3" t="str">
            <v>齊藤</v>
          </cell>
          <cell r="AC3" t="str">
            <v>平田恵</v>
          </cell>
          <cell r="AD3" t="str">
            <v>南</v>
          </cell>
          <cell r="AE3" t="str">
            <v>清水</v>
          </cell>
          <cell r="AF3" t="str">
            <v>長田</v>
          </cell>
          <cell r="AG3" t="str">
            <v>薬司</v>
          </cell>
          <cell r="AH3" t="str">
            <v>加藤</v>
          </cell>
        </row>
        <row r="4">
          <cell r="D4" t="str">
            <v>諸田</v>
          </cell>
          <cell r="E4" t="str">
            <v>松木</v>
          </cell>
          <cell r="F4" t="str">
            <v>大橋</v>
          </cell>
          <cell r="G4" t="str">
            <v>西郡</v>
          </cell>
          <cell r="H4" t="str">
            <v>田村</v>
          </cell>
          <cell r="I4" t="str">
            <v>本田</v>
          </cell>
          <cell r="J4" t="str">
            <v>龍野</v>
          </cell>
          <cell r="K4" t="str">
            <v>佐藤恵</v>
          </cell>
          <cell r="L4" t="str">
            <v>齊藤</v>
          </cell>
          <cell r="M4" t="str">
            <v>清水</v>
          </cell>
          <cell r="N4" t="str">
            <v>諸田</v>
          </cell>
          <cell r="O4" t="str">
            <v>龍野</v>
          </cell>
          <cell r="P4" t="str">
            <v>庵</v>
          </cell>
          <cell r="Q4" t="str">
            <v>薬司</v>
          </cell>
          <cell r="R4" t="str">
            <v>加藤</v>
          </cell>
          <cell r="S4" t="str">
            <v>佐藤穂</v>
          </cell>
          <cell r="T4" t="str">
            <v>齊藤</v>
          </cell>
          <cell r="U4" t="str">
            <v>山本</v>
          </cell>
          <cell r="V4" t="str">
            <v>本田</v>
          </cell>
          <cell r="W4" t="str">
            <v>松木</v>
          </cell>
          <cell r="X4" t="str">
            <v>西郡</v>
          </cell>
          <cell r="Y4" t="str">
            <v>佐藤恵</v>
          </cell>
          <cell r="Z4" t="str">
            <v>龍野</v>
          </cell>
          <cell r="AA4" t="str">
            <v>佐藤穂</v>
          </cell>
          <cell r="AB4" t="str">
            <v>西郡</v>
          </cell>
          <cell r="AC4" t="str">
            <v>大橋</v>
          </cell>
          <cell r="AD4" t="str">
            <v>佐藤恵</v>
          </cell>
          <cell r="AE4" t="str">
            <v>諸田</v>
          </cell>
          <cell r="AF4" t="str">
            <v>庵</v>
          </cell>
          <cell r="AG4" t="str">
            <v>西郡</v>
          </cell>
          <cell r="AH4" t="str">
            <v>松木</v>
          </cell>
        </row>
      </sheetData>
      <sheetData sheetId="9">
        <row r="1">
          <cell r="D1">
            <v>44562</v>
          </cell>
          <cell r="E1">
            <v>44563</v>
          </cell>
          <cell r="F1">
            <v>44564</v>
          </cell>
          <cell r="G1">
            <v>44565</v>
          </cell>
          <cell r="H1">
            <v>44566</v>
          </cell>
          <cell r="I1">
            <v>44567</v>
          </cell>
          <cell r="J1">
            <v>44568</v>
          </cell>
          <cell r="K1">
            <v>44569</v>
          </cell>
          <cell r="L1">
            <v>44570</v>
          </cell>
          <cell r="M1">
            <v>44571</v>
          </cell>
          <cell r="N1">
            <v>44572</v>
          </cell>
          <cell r="O1">
            <v>44573</v>
          </cell>
          <cell r="P1">
            <v>44574</v>
          </cell>
          <cell r="Q1">
            <v>44575</v>
          </cell>
          <cell r="R1">
            <v>44576</v>
          </cell>
          <cell r="S1">
            <v>44577</v>
          </cell>
          <cell r="T1">
            <v>44578</v>
          </cell>
          <cell r="U1">
            <v>44579</v>
          </cell>
          <cell r="V1">
            <v>44580</v>
          </cell>
          <cell r="W1">
            <v>44581</v>
          </cell>
          <cell r="X1">
            <v>44582</v>
          </cell>
          <cell r="Y1">
            <v>44583</v>
          </cell>
          <cell r="Z1">
            <v>44584</v>
          </cell>
          <cell r="AA1">
            <v>44585</v>
          </cell>
          <cell r="AB1">
            <v>44586</v>
          </cell>
          <cell r="AC1">
            <v>44587</v>
          </cell>
          <cell r="AD1">
            <v>44588</v>
          </cell>
          <cell r="AE1">
            <v>44589</v>
          </cell>
          <cell r="AF1">
            <v>44590</v>
          </cell>
          <cell r="AG1">
            <v>44591</v>
          </cell>
          <cell r="AH1">
            <v>44592</v>
          </cell>
        </row>
        <row r="2">
          <cell r="D2">
            <v>44562</v>
          </cell>
          <cell r="E2">
            <v>44563</v>
          </cell>
          <cell r="F2">
            <v>44564</v>
          </cell>
          <cell r="G2">
            <v>44565</v>
          </cell>
          <cell r="H2">
            <v>44566</v>
          </cell>
          <cell r="I2">
            <v>44567</v>
          </cell>
          <cell r="J2">
            <v>44568</v>
          </cell>
          <cell r="K2">
            <v>44569</v>
          </cell>
          <cell r="L2">
            <v>44570</v>
          </cell>
          <cell r="M2">
            <v>44571</v>
          </cell>
          <cell r="N2">
            <v>44572</v>
          </cell>
          <cell r="O2">
            <v>44573</v>
          </cell>
          <cell r="P2">
            <v>44574</v>
          </cell>
          <cell r="Q2">
            <v>44575</v>
          </cell>
          <cell r="R2">
            <v>44576</v>
          </cell>
          <cell r="S2">
            <v>44577</v>
          </cell>
          <cell r="T2">
            <v>44578</v>
          </cell>
          <cell r="U2">
            <v>44579</v>
          </cell>
          <cell r="V2">
            <v>44580</v>
          </cell>
          <cell r="W2">
            <v>44581</v>
          </cell>
          <cell r="X2">
            <v>44582</v>
          </cell>
          <cell r="Y2">
            <v>44583</v>
          </cell>
          <cell r="Z2">
            <v>44584</v>
          </cell>
          <cell r="AA2">
            <v>44585</v>
          </cell>
          <cell r="AB2">
            <v>44586</v>
          </cell>
          <cell r="AC2">
            <v>44587</v>
          </cell>
          <cell r="AD2">
            <v>44588</v>
          </cell>
          <cell r="AE2">
            <v>44589</v>
          </cell>
          <cell r="AF2">
            <v>44590</v>
          </cell>
          <cell r="AG2">
            <v>44591</v>
          </cell>
          <cell r="AH2">
            <v>44592</v>
          </cell>
        </row>
        <row r="3">
          <cell r="D3" t="str">
            <v>宮崎</v>
          </cell>
          <cell r="E3" t="str">
            <v>宮崎</v>
          </cell>
          <cell r="F3" t="str">
            <v>宮崎</v>
          </cell>
          <cell r="G3" t="str">
            <v>平田恵</v>
          </cell>
          <cell r="H3" t="str">
            <v>山村</v>
          </cell>
          <cell r="I3" t="str">
            <v>長田</v>
          </cell>
          <cell r="J3" t="str">
            <v>山下</v>
          </cell>
          <cell r="K3" t="str">
            <v>木田</v>
          </cell>
          <cell r="L3" t="str">
            <v>宮崎</v>
          </cell>
          <cell r="M3" t="str">
            <v>宮崎</v>
          </cell>
          <cell r="N3" t="str">
            <v>清水</v>
          </cell>
          <cell r="O3" t="str">
            <v>山下</v>
          </cell>
          <cell r="P3" t="str">
            <v>佐藤恵</v>
          </cell>
          <cell r="Q3" t="str">
            <v>庵</v>
          </cell>
          <cell r="R3" t="str">
            <v>能登</v>
          </cell>
          <cell r="S3" t="str">
            <v>宮崎</v>
          </cell>
          <cell r="T3" t="str">
            <v>山村</v>
          </cell>
          <cell r="U3" t="str">
            <v>大橋</v>
          </cell>
          <cell r="V3" t="str">
            <v>長田</v>
          </cell>
          <cell r="W3" t="str">
            <v>南</v>
          </cell>
          <cell r="X3" t="str">
            <v>加藤</v>
          </cell>
          <cell r="Y3" t="str">
            <v>木田</v>
          </cell>
          <cell r="Z3" t="str">
            <v>宮崎</v>
          </cell>
          <cell r="AA3" t="str">
            <v>大橋</v>
          </cell>
          <cell r="AB3" t="str">
            <v>田村</v>
          </cell>
          <cell r="AC3" t="str">
            <v>諸田</v>
          </cell>
          <cell r="AD3" t="str">
            <v>平田恵</v>
          </cell>
          <cell r="AE3" t="str">
            <v>南</v>
          </cell>
          <cell r="AF3" t="str">
            <v>能登</v>
          </cell>
          <cell r="AG3" t="str">
            <v>宮崎</v>
          </cell>
          <cell r="AH3" t="str">
            <v>薬司</v>
          </cell>
        </row>
        <row r="4">
          <cell r="D4" t="str">
            <v>山下</v>
          </cell>
          <cell r="E4" t="str">
            <v>山下</v>
          </cell>
          <cell r="F4" t="str">
            <v>山下</v>
          </cell>
          <cell r="G4" t="str">
            <v>清水</v>
          </cell>
          <cell r="H4" t="str">
            <v>大橋</v>
          </cell>
          <cell r="I4" t="str">
            <v>大橋</v>
          </cell>
          <cell r="J4" t="str">
            <v>長田</v>
          </cell>
          <cell r="K4" t="str">
            <v/>
          </cell>
          <cell r="L4" t="str">
            <v>山村</v>
          </cell>
          <cell r="M4" t="str">
            <v>山村</v>
          </cell>
          <cell r="N4" t="str">
            <v/>
          </cell>
          <cell r="O4" t="str">
            <v>平田真</v>
          </cell>
          <cell r="P4" t="str">
            <v/>
          </cell>
          <cell r="Q4" t="str">
            <v>佐藤恵</v>
          </cell>
          <cell r="R4" t="str">
            <v>木田</v>
          </cell>
          <cell r="S4" t="str">
            <v>山下</v>
          </cell>
          <cell r="T4" t="str">
            <v>田村</v>
          </cell>
          <cell r="U4" t="str">
            <v>山田</v>
          </cell>
          <cell r="V4" t="str">
            <v>山田</v>
          </cell>
          <cell r="W4" t="str">
            <v>佐藤穂</v>
          </cell>
          <cell r="X4" t="str">
            <v/>
          </cell>
          <cell r="Y4" t="str">
            <v/>
          </cell>
          <cell r="Z4" t="str">
            <v>山下</v>
          </cell>
          <cell r="AA4" t="str">
            <v>澤野</v>
          </cell>
          <cell r="AB4" t="str">
            <v>佐藤穂</v>
          </cell>
          <cell r="AC4" t="str">
            <v/>
          </cell>
          <cell r="AD4" t="str">
            <v/>
          </cell>
          <cell r="AE4" t="str">
            <v>佐藤恵</v>
          </cell>
          <cell r="AF4" t="str">
            <v>木田</v>
          </cell>
          <cell r="AG4" t="str">
            <v>山下</v>
          </cell>
          <cell r="AH4" t="str">
            <v>西郡</v>
          </cell>
        </row>
        <row r="5">
          <cell r="D5" t="str">
            <v>平田恵</v>
          </cell>
          <cell r="E5" t="str">
            <v>山村</v>
          </cell>
          <cell r="F5" t="str">
            <v>山村</v>
          </cell>
          <cell r="G5" t="str">
            <v>加藤</v>
          </cell>
          <cell r="H5" t="str">
            <v>山本</v>
          </cell>
          <cell r="I5" t="str">
            <v>松木</v>
          </cell>
          <cell r="J5" t="str">
            <v>大橋</v>
          </cell>
          <cell r="K5" t="str">
            <v/>
          </cell>
          <cell r="L5" t="str">
            <v>平田恵</v>
          </cell>
          <cell r="M5" t="str">
            <v>平田恵</v>
          </cell>
          <cell r="N5" t="str">
            <v/>
          </cell>
          <cell r="O5" t="str">
            <v>諸田</v>
          </cell>
          <cell r="P5" t="str">
            <v/>
          </cell>
          <cell r="Q5" t="str">
            <v>本田</v>
          </cell>
          <cell r="R5" t="str">
            <v/>
          </cell>
          <cell r="S5" t="str">
            <v>山村</v>
          </cell>
          <cell r="T5" t="str">
            <v>佐藤穂</v>
          </cell>
          <cell r="U5" t="str">
            <v>齊藤</v>
          </cell>
          <cell r="V5" t="str">
            <v>龍野</v>
          </cell>
          <cell r="W5" t="str">
            <v/>
          </cell>
          <cell r="X5" t="str">
            <v/>
          </cell>
          <cell r="Y5" t="str">
            <v/>
          </cell>
          <cell r="Z5" t="str">
            <v>山村</v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>山村</v>
          </cell>
          <cell r="AH5" t="str">
            <v/>
          </cell>
        </row>
        <row r="6">
          <cell r="D6" t="str">
            <v>中井</v>
          </cell>
          <cell r="E6" t="str">
            <v>中井</v>
          </cell>
          <cell r="F6" t="str">
            <v>長田</v>
          </cell>
          <cell r="G6" t="str">
            <v>諸田</v>
          </cell>
          <cell r="H6" t="str">
            <v>西郡</v>
          </cell>
          <cell r="I6" t="str">
            <v/>
          </cell>
          <cell r="J6" t="str">
            <v>齊藤</v>
          </cell>
          <cell r="K6" t="str">
            <v/>
          </cell>
          <cell r="L6" t="str">
            <v>長田</v>
          </cell>
          <cell r="M6" t="str">
            <v>長田</v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>平田恵</v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>平田恵</v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>平田恵</v>
          </cell>
          <cell r="AH6" t="str">
            <v/>
          </cell>
        </row>
        <row r="7">
          <cell r="D7" t="str">
            <v>北</v>
          </cell>
          <cell r="E7" t="str">
            <v>北</v>
          </cell>
          <cell r="F7" t="str">
            <v>中井</v>
          </cell>
          <cell r="G7" t="str">
            <v/>
          </cell>
          <cell r="H7" t="str">
            <v/>
          </cell>
          <cell r="I7" t="str">
            <v/>
          </cell>
          <cell r="J7" t="str">
            <v>松木</v>
          </cell>
          <cell r="K7" t="str">
            <v/>
          </cell>
          <cell r="L7" t="str">
            <v>中井</v>
          </cell>
          <cell r="M7" t="str">
            <v>中井</v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>長田</v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>長田</v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>長田</v>
          </cell>
          <cell r="AH7" t="str">
            <v/>
          </cell>
        </row>
        <row r="8">
          <cell r="D8" t="str">
            <v>中村映</v>
          </cell>
          <cell r="E8" t="str">
            <v>中村映</v>
          </cell>
          <cell r="F8" t="str">
            <v>北</v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>北</v>
          </cell>
          <cell r="M8" t="str">
            <v>北</v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>中井</v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>中井</v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>中井</v>
          </cell>
          <cell r="AH8" t="str">
            <v/>
          </cell>
        </row>
        <row r="9">
          <cell r="D9" t="str">
            <v>平田真</v>
          </cell>
          <cell r="E9" t="str">
            <v>平田真</v>
          </cell>
          <cell r="F9" t="str">
            <v>中村映</v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>中村映</v>
          </cell>
          <cell r="M9" t="str">
            <v>中村映</v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>北</v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>北</v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>北</v>
          </cell>
          <cell r="AH9" t="str">
            <v/>
          </cell>
        </row>
        <row r="10">
          <cell r="D10" t="str">
            <v>大橋</v>
          </cell>
          <cell r="E10" t="str">
            <v>山本</v>
          </cell>
          <cell r="F10" t="str">
            <v>平田真</v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>平田真</v>
          </cell>
          <cell r="M10" t="str">
            <v>平田真</v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>中村映</v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>中村映</v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>中村映</v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44593</v>
          </cell>
          <cell r="E1">
            <v>44594</v>
          </cell>
          <cell r="F1">
            <v>44595</v>
          </cell>
          <cell r="G1">
            <v>44596</v>
          </cell>
          <cell r="H1">
            <v>44597</v>
          </cell>
          <cell r="I1">
            <v>44598</v>
          </cell>
          <cell r="J1">
            <v>44599</v>
          </cell>
          <cell r="K1">
            <v>44600</v>
          </cell>
          <cell r="L1">
            <v>44601</v>
          </cell>
          <cell r="M1">
            <v>44602</v>
          </cell>
          <cell r="N1">
            <v>44603</v>
          </cell>
          <cell r="O1">
            <v>44604</v>
          </cell>
          <cell r="P1">
            <v>44605</v>
          </cell>
          <cell r="Q1">
            <v>44606</v>
          </cell>
          <cell r="R1">
            <v>44607</v>
          </cell>
          <cell r="S1">
            <v>44608</v>
          </cell>
          <cell r="T1">
            <v>44609</v>
          </cell>
          <cell r="U1">
            <v>44610</v>
          </cell>
          <cell r="V1">
            <v>44611</v>
          </cell>
          <cell r="W1">
            <v>44612</v>
          </cell>
          <cell r="X1">
            <v>44613</v>
          </cell>
          <cell r="Y1">
            <v>44614</v>
          </cell>
          <cell r="Z1">
            <v>44615</v>
          </cell>
          <cell r="AA1">
            <v>44616</v>
          </cell>
          <cell r="AB1">
            <v>44617</v>
          </cell>
          <cell r="AC1">
            <v>44618</v>
          </cell>
          <cell r="AD1">
            <v>44619</v>
          </cell>
          <cell r="AE1">
            <v>44620</v>
          </cell>
          <cell r="AF1" t="str">
            <v/>
          </cell>
          <cell r="AG1" t="e">
            <v>#VALUE!</v>
          </cell>
          <cell r="AH1" t="e">
            <v>#VALUE!</v>
          </cell>
        </row>
        <row r="2">
          <cell r="D2">
            <v>44593</v>
          </cell>
          <cell r="E2">
            <v>44594</v>
          </cell>
          <cell r="F2">
            <v>44595</v>
          </cell>
          <cell r="G2">
            <v>44596</v>
          </cell>
          <cell r="H2">
            <v>44597</v>
          </cell>
          <cell r="I2">
            <v>44598</v>
          </cell>
          <cell r="J2">
            <v>44599</v>
          </cell>
          <cell r="K2">
            <v>44600</v>
          </cell>
          <cell r="L2">
            <v>44601</v>
          </cell>
          <cell r="M2">
            <v>44602</v>
          </cell>
          <cell r="N2">
            <v>44603</v>
          </cell>
          <cell r="O2">
            <v>44604</v>
          </cell>
          <cell r="P2">
            <v>44605</v>
          </cell>
          <cell r="Q2">
            <v>44606</v>
          </cell>
          <cell r="R2">
            <v>44607</v>
          </cell>
          <cell r="S2">
            <v>44608</v>
          </cell>
          <cell r="T2">
            <v>44609</v>
          </cell>
          <cell r="U2">
            <v>44610</v>
          </cell>
          <cell r="V2">
            <v>44611</v>
          </cell>
          <cell r="W2">
            <v>44612</v>
          </cell>
          <cell r="X2">
            <v>44613</v>
          </cell>
          <cell r="Y2">
            <v>44614</v>
          </cell>
          <cell r="Z2">
            <v>44615</v>
          </cell>
          <cell r="AA2">
            <v>44616</v>
          </cell>
          <cell r="AB2">
            <v>44617</v>
          </cell>
          <cell r="AC2">
            <v>44618</v>
          </cell>
          <cell r="AD2">
            <v>44619</v>
          </cell>
          <cell r="AE2">
            <v>44620</v>
          </cell>
          <cell r="AF2" t="str">
            <v/>
          </cell>
          <cell r="AG2" t="e">
            <v>#VALUE!</v>
          </cell>
          <cell r="AH2" t="e">
            <v>#VALUE!</v>
          </cell>
        </row>
        <row r="3">
          <cell r="D3" t="str">
            <v>大橋</v>
          </cell>
          <cell r="E3" t="str">
            <v>長田</v>
          </cell>
          <cell r="F3" t="str">
            <v>清水</v>
          </cell>
          <cell r="G3" t="str">
            <v>本田</v>
          </cell>
          <cell r="H3" t="str">
            <v>山本</v>
          </cell>
          <cell r="I3" t="str">
            <v>大橋</v>
          </cell>
          <cell r="J3" t="str">
            <v>南</v>
          </cell>
          <cell r="K3" t="str">
            <v>加藤</v>
          </cell>
          <cell r="L3" t="str">
            <v>大橋</v>
          </cell>
          <cell r="M3" t="str">
            <v>清水</v>
          </cell>
          <cell r="N3" t="str">
            <v>山村</v>
          </cell>
          <cell r="O3" t="str">
            <v>長田</v>
          </cell>
          <cell r="P3" t="str">
            <v>平田恵</v>
          </cell>
          <cell r="Q3" t="str">
            <v>大橋</v>
          </cell>
          <cell r="R3" t="str">
            <v>南</v>
          </cell>
          <cell r="S3" t="str">
            <v>加藤</v>
          </cell>
          <cell r="T3" t="str">
            <v>大橋</v>
          </cell>
          <cell r="U3" t="str">
            <v>長田</v>
          </cell>
          <cell r="V3" t="str">
            <v>山本</v>
          </cell>
          <cell r="W3" t="str">
            <v>大橋</v>
          </cell>
          <cell r="X3" t="str">
            <v>清水</v>
          </cell>
          <cell r="Y3" t="str">
            <v>中村映</v>
          </cell>
          <cell r="Z3" t="str">
            <v>齊藤</v>
          </cell>
          <cell r="AA3" t="str">
            <v>平田恵</v>
          </cell>
          <cell r="AB3" t="str">
            <v>薬司</v>
          </cell>
          <cell r="AC3" t="str">
            <v>山村</v>
          </cell>
          <cell r="AD3" t="str">
            <v>山下</v>
          </cell>
          <cell r="AE3" t="str">
            <v>西郡</v>
          </cell>
          <cell r="AF3" t="str">
            <v/>
          </cell>
          <cell r="AG3" t="str">
            <v/>
          </cell>
          <cell r="AH3" t="str">
            <v/>
          </cell>
        </row>
        <row r="4">
          <cell r="D4" t="str">
            <v>齊藤</v>
          </cell>
          <cell r="E4" t="str">
            <v>龍野</v>
          </cell>
          <cell r="F4" t="str">
            <v>山田</v>
          </cell>
          <cell r="G4" t="str">
            <v>西郡</v>
          </cell>
          <cell r="H4" t="str">
            <v>佐藤恵</v>
          </cell>
          <cell r="I4" t="str">
            <v>齊藤</v>
          </cell>
          <cell r="J4" t="str">
            <v>田村</v>
          </cell>
          <cell r="K4" t="str">
            <v>佐藤穂</v>
          </cell>
          <cell r="L4" t="str">
            <v>諸田</v>
          </cell>
          <cell r="M4" t="str">
            <v>庵</v>
          </cell>
          <cell r="N4" t="str">
            <v>西郡</v>
          </cell>
          <cell r="O4" t="str">
            <v>松木</v>
          </cell>
          <cell r="P4" t="str">
            <v>佐藤恵</v>
          </cell>
          <cell r="Q4" t="str">
            <v>薬司</v>
          </cell>
          <cell r="R4" t="str">
            <v>田村</v>
          </cell>
          <cell r="S4" t="str">
            <v>佐藤穂</v>
          </cell>
          <cell r="T4" t="str">
            <v>澤野</v>
          </cell>
          <cell r="U4" t="str">
            <v>龍野</v>
          </cell>
          <cell r="V4" t="str">
            <v>西郡</v>
          </cell>
          <cell r="W4" t="str">
            <v>庵</v>
          </cell>
          <cell r="X4" t="str">
            <v>本田</v>
          </cell>
          <cell r="Y4" t="str">
            <v>山田</v>
          </cell>
          <cell r="Z4" t="str">
            <v>佐藤恵</v>
          </cell>
          <cell r="AA4" t="str">
            <v>加藤</v>
          </cell>
          <cell r="AB4" t="str">
            <v>松木</v>
          </cell>
          <cell r="AC4" t="str">
            <v>大橋</v>
          </cell>
          <cell r="AD4" t="str">
            <v>田村</v>
          </cell>
          <cell r="AE4" t="str">
            <v>諸田</v>
          </cell>
          <cell r="AF4" t="str">
            <v/>
          </cell>
          <cell r="AG4" t="str">
            <v/>
          </cell>
          <cell r="AH4" t="str">
            <v/>
          </cell>
        </row>
      </sheetData>
      <sheetData sheetId="9">
        <row r="1">
          <cell r="D1">
            <v>44593</v>
          </cell>
          <cell r="E1">
            <v>44594</v>
          </cell>
          <cell r="F1">
            <v>44595</v>
          </cell>
          <cell r="G1">
            <v>44596</v>
          </cell>
          <cell r="H1">
            <v>44597</v>
          </cell>
          <cell r="I1">
            <v>44598</v>
          </cell>
          <cell r="J1">
            <v>44599</v>
          </cell>
          <cell r="K1">
            <v>44600</v>
          </cell>
          <cell r="L1">
            <v>44601</v>
          </cell>
          <cell r="M1">
            <v>44602</v>
          </cell>
          <cell r="N1">
            <v>44603</v>
          </cell>
          <cell r="O1">
            <v>44604</v>
          </cell>
          <cell r="P1">
            <v>44605</v>
          </cell>
          <cell r="Q1">
            <v>44606</v>
          </cell>
          <cell r="R1">
            <v>44607</v>
          </cell>
          <cell r="S1">
            <v>44608</v>
          </cell>
          <cell r="T1">
            <v>44609</v>
          </cell>
          <cell r="U1">
            <v>44610</v>
          </cell>
          <cell r="V1">
            <v>44611</v>
          </cell>
          <cell r="W1">
            <v>44612</v>
          </cell>
          <cell r="X1">
            <v>44613</v>
          </cell>
          <cell r="Y1">
            <v>44614</v>
          </cell>
          <cell r="Z1">
            <v>44615</v>
          </cell>
          <cell r="AA1">
            <v>44616</v>
          </cell>
          <cell r="AB1">
            <v>44617</v>
          </cell>
          <cell r="AC1">
            <v>44618</v>
          </cell>
          <cell r="AD1">
            <v>44619</v>
          </cell>
          <cell r="AE1">
            <v>44620</v>
          </cell>
          <cell r="AF1" t="str">
            <v/>
          </cell>
          <cell r="AG1" t="e">
            <v>#VALUE!</v>
          </cell>
          <cell r="AH1" t="e">
            <v>#VALUE!</v>
          </cell>
        </row>
        <row r="2">
          <cell r="D2">
            <v>44593</v>
          </cell>
          <cell r="E2">
            <v>44594</v>
          </cell>
          <cell r="F2">
            <v>44595</v>
          </cell>
          <cell r="G2">
            <v>44596</v>
          </cell>
          <cell r="H2">
            <v>44597</v>
          </cell>
          <cell r="I2">
            <v>44598</v>
          </cell>
          <cell r="J2">
            <v>44599</v>
          </cell>
          <cell r="K2">
            <v>44600</v>
          </cell>
          <cell r="L2">
            <v>44601</v>
          </cell>
          <cell r="M2">
            <v>44602</v>
          </cell>
          <cell r="N2">
            <v>44603</v>
          </cell>
          <cell r="O2">
            <v>44604</v>
          </cell>
          <cell r="P2">
            <v>44605</v>
          </cell>
          <cell r="Q2">
            <v>44606</v>
          </cell>
          <cell r="R2">
            <v>44607</v>
          </cell>
          <cell r="S2">
            <v>44608</v>
          </cell>
          <cell r="T2">
            <v>44609</v>
          </cell>
          <cell r="U2">
            <v>44610</v>
          </cell>
          <cell r="V2">
            <v>44611</v>
          </cell>
          <cell r="W2">
            <v>44612</v>
          </cell>
          <cell r="X2">
            <v>44613</v>
          </cell>
          <cell r="Y2">
            <v>44614</v>
          </cell>
          <cell r="Z2">
            <v>44615</v>
          </cell>
          <cell r="AA2">
            <v>44616</v>
          </cell>
          <cell r="AB2">
            <v>44617</v>
          </cell>
          <cell r="AC2">
            <v>44618</v>
          </cell>
          <cell r="AD2">
            <v>44619</v>
          </cell>
          <cell r="AE2">
            <v>44620</v>
          </cell>
          <cell r="AF2" t="str">
            <v/>
          </cell>
          <cell r="AG2" t="e">
            <v>#VALUE!</v>
          </cell>
          <cell r="AH2" t="e">
            <v>#VALUE!</v>
          </cell>
        </row>
        <row r="3">
          <cell r="D3" t="str">
            <v>山村</v>
          </cell>
          <cell r="E3" t="str">
            <v>加藤</v>
          </cell>
          <cell r="F3" t="str">
            <v>山本</v>
          </cell>
          <cell r="G3" t="str">
            <v>薬司</v>
          </cell>
          <cell r="H3" t="str">
            <v>木田</v>
          </cell>
          <cell r="I3" t="str">
            <v>宮崎</v>
          </cell>
          <cell r="J3" t="str">
            <v>大橋</v>
          </cell>
          <cell r="K3" t="str">
            <v>南</v>
          </cell>
          <cell r="L3" t="str">
            <v>山村</v>
          </cell>
          <cell r="M3" t="str">
            <v>大橋</v>
          </cell>
          <cell r="N3" t="str">
            <v>宮崎</v>
          </cell>
          <cell r="O3" t="str">
            <v>薬司</v>
          </cell>
          <cell r="P3" t="str">
            <v>宮崎</v>
          </cell>
          <cell r="Q3" t="str">
            <v>長田</v>
          </cell>
          <cell r="R3" t="str">
            <v>薬司</v>
          </cell>
          <cell r="S3" t="str">
            <v>平田真</v>
          </cell>
          <cell r="T3" t="str">
            <v>平田恵</v>
          </cell>
          <cell r="U3" t="str">
            <v>大橋</v>
          </cell>
          <cell r="V3" t="str">
            <v>諸田</v>
          </cell>
          <cell r="W3" t="str">
            <v>宮崎</v>
          </cell>
          <cell r="X3" t="str">
            <v>長田</v>
          </cell>
          <cell r="Y3" t="str">
            <v>清水</v>
          </cell>
          <cell r="Z3" t="str">
            <v>宮崎</v>
          </cell>
          <cell r="AA3" t="str">
            <v>齊藤</v>
          </cell>
          <cell r="AB3" t="str">
            <v>諸田</v>
          </cell>
          <cell r="AC3" t="str">
            <v>能登</v>
          </cell>
          <cell r="AD3" t="str">
            <v>宮崎</v>
          </cell>
          <cell r="AE3" t="str">
            <v>山下</v>
          </cell>
          <cell r="AF3" t="str">
            <v/>
          </cell>
          <cell r="AG3" t="str">
            <v/>
          </cell>
          <cell r="AH3" t="str">
            <v/>
          </cell>
        </row>
        <row r="4">
          <cell r="D4" t="str">
            <v>松木</v>
          </cell>
          <cell r="E4" t="str">
            <v/>
          </cell>
          <cell r="F4" t="str">
            <v>佐藤恵</v>
          </cell>
          <cell r="G4" t="str">
            <v/>
          </cell>
          <cell r="H4" t="str">
            <v/>
          </cell>
          <cell r="I4" t="str">
            <v>山下</v>
          </cell>
          <cell r="J4" t="str">
            <v>齊藤</v>
          </cell>
          <cell r="K4" t="str">
            <v>田村</v>
          </cell>
          <cell r="L4" t="str">
            <v>西郡</v>
          </cell>
          <cell r="M4" t="str">
            <v>松木</v>
          </cell>
          <cell r="N4" t="str">
            <v>山下</v>
          </cell>
          <cell r="O4" t="str">
            <v>能登</v>
          </cell>
          <cell r="P4" t="str">
            <v>山下</v>
          </cell>
          <cell r="Q4" t="str">
            <v>佐藤恵</v>
          </cell>
          <cell r="R4" t="str">
            <v/>
          </cell>
          <cell r="S4" t="str">
            <v>龍野</v>
          </cell>
          <cell r="T4" t="str">
            <v>山本</v>
          </cell>
          <cell r="U4" t="str">
            <v>林</v>
          </cell>
          <cell r="V4" t="str">
            <v>木田</v>
          </cell>
          <cell r="W4" t="str">
            <v>山下</v>
          </cell>
          <cell r="X4" t="str">
            <v>大橋</v>
          </cell>
          <cell r="Y4" t="str">
            <v>本田</v>
          </cell>
          <cell r="Z4" t="str">
            <v>山下</v>
          </cell>
          <cell r="AA4" t="str">
            <v>佐藤恵</v>
          </cell>
          <cell r="AB4" t="str">
            <v/>
          </cell>
          <cell r="AC4" t="str">
            <v>木田</v>
          </cell>
          <cell r="AD4" t="str">
            <v>山村</v>
          </cell>
          <cell r="AE4" t="str">
            <v>田村</v>
          </cell>
          <cell r="AF4" t="str">
            <v/>
          </cell>
          <cell r="AG4" t="str">
            <v/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>山村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>平田恵</v>
          </cell>
          <cell r="O5" t="str">
            <v>木田</v>
          </cell>
          <cell r="P5" t="str">
            <v>山村</v>
          </cell>
          <cell r="Q5" t="str">
            <v>西郡</v>
          </cell>
          <cell r="R5" t="str">
            <v/>
          </cell>
          <cell r="S5" t="str">
            <v/>
          </cell>
          <cell r="T5" t="str">
            <v>西郡</v>
          </cell>
          <cell r="U5" t="str">
            <v>佐藤穂</v>
          </cell>
          <cell r="V5" t="str">
            <v/>
          </cell>
          <cell r="W5" t="str">
            <v>山村</v>
          </cell>
          <cell r="X5" t="str">
            <v>庵</v>
          </cell>
          <cell r="Y5" t="str">
            <v/>
          </cell>
          <cell r="Z5" t="str">
            <v>山村</v>
          </cell>
          <cell r="AA5" t="str">
            <v/>
          </cell>
          <cell r="AB5" t="str">
            <v/>
          </cell>
          <cell r="AC5" t="str">
            <v/>
          </cell>
          <cell r="AD5" t="str">
            <v>平田恵</v>
          </cell>
          <cell r="AE5" t="str">
            <v>庵</v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>平田恵</v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>中井</v>
          </cell>
          <cell r="O6" t="str">
            <v/>
          </cell>
          <cell r="P6" t="str">
            <v>長田</v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>平田恵</v>
          </cell>
          <cell r="X6" t="str">
            <v/>
          </cell>
          <cell r="Y6" t="str">
            <v/>
          </cell>
          <cell r="Z6" t="str">
            <v>長田</v>
          </cell>
          <cell r="AA6" t="str">
            <v/>
          </cell>
          <cell r="AB6" t="str">
            <v/>
          </cell>
          <cell r="AC6" t="str">
            <v/>
          </cell>
          <cell r="AD6" t="str">
            <v>長田</v>
          </cell>
          <cell r="AE6" t="str">
            <v>加藤</v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>長田</v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>北</v>
          </cell>
          <cell r="O7" t="str">
            <v/>
          </cell>
          <cell r="P7" t="str">
            <v>中井</v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>長田</v>
          </cell>
          <cell r="X7" t="str">
            <v/>
          </cell>
          <cell r="Y7" t="str">
            <v/>
          </cell>
          <cell r="Z7" t="str">
            <v>中井</v>
          </cell>
          <cell r="AA7" t="str">
            <v/>
          </cell>
          <cell r="AB7" t="str">
            <v/>
          </cell>
          <cell r="AC7" t="str">
            <v/>
          </cell>
          <cell r="AD7" t="str">
            <v>中井</v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>中井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>中村映</v>
          </cell>
          <cell r="O8" t="str">
            <v/>
          </cell>
          <cell r="P8" t="str">
            <v>北</v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>中井</v>
          </cell>
          <cell r="X8" t="str">
            <v/>
          </cell>
          <cell r="Y8" t="str">
            <v/>
          </cell>
          <cell r="Z8" t="str">
            <v>北</v>
          </cell>
          <cell r="AA8" t="str">
            <v/>
          </cell>
          <cell r="AB8" t="str">
            <v/>
          </cell>
          <cell r="AC8" t="str">
            <v/>
          </cell>
          <cell r="AD8" t="str">
            <v>北</v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>北</v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>大橋</v>
          </cell>
          <cell r="O9" t="str">
            <v/>
          </cell>
          <cell r="P9" t="str">
            <v>中村映</v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>北</v>
          </cell>
          <cell r="X9" t="str">
            <v/>
          </cell>
          <cell r="Y9" t="str">
            <v/>
          </cell>
          <cell r="Z9" t="str">
            <v>中村映</v>
          </cell>
          <cell r="AA9" t="str">
            <v/>
          </cell>
          <cell r="AB9" t="str">
            <v/>
          </cell>
          <cell r="AC9" t="str">
            <v/>
          </cell>
          <cell r="AD9" t="str">
            <v>中村映</v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>中村映</v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>山本</v>
          </cell>
          <cell r="O10" t="str">
            <v/>
          </cell>
          <cell r="P10" t="str">
            <v>平田真</v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>中村映</v>
          </cell>
          <cell r="X10" t="str">
            <v/>
          </cell>
          <cell r="Y10" t="str">
            <v/>
          </cell>
          <cell r="Z10" t="str">
            <v>平田真</v>
          </cell>
          <cell r="AA10" t="str">
            <v/>
          </cell>
          <cell r="AB10" t="str">
            <v/>
          </cell>
          <cell r="AC10" t="str">
            <v/>
          </cell>
          <cell r="AD10" t="str">
            <v>平田真</v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44621</v>
          </cell>
          <cell r="E1">
            <v>44622</v>
          </cell>
          <cell r="F1">
            <v>44623</v>
          </cell>
          <cell r="G1">
            <v>44624</v>
          </cell>
          <cell r="H1">
            <v>44625</v>
          </cell>
          <cell r="I1">
            <v>44626</v>
          </cell>
          <cell r="J1">
            <v>44627</v>
          </cell>
          <cell r="K1">
            <v>44628</v>
          </cell>
          <cell r="L1">
            <v>44629</v>
          </cell>
          <cell r="M1">
            <v>44630</v>
          </cell>
          <cell r="N1">
            <v>44631</v>
          </cell>
          <cell r="O1">
            <v>44632</v>
          </cell>
          <cell r="P1">
            <v>44633</v>
          </cell>
          <cell r="Q1">
            <v>44634</v>
          </cell>
          <cell r="R1">
            <v>44635</v>
          </cell>
          <cell r="S1">
            <v>44636</v>
          </cell>
          <cell r="T1">
            <v>44637</v>
          </cell>
          <cell r="U1">
            <v>44638</v>
          </cell>
          <cell r="V1">
            <v>44639</v>
          </cell>
          <cell r="W1">
            <v>44640</v>
          </cell>
          <cell r="X1">
            <v>44641</v>
          </cell>
          <cell r="Y1">
            <v>44642</v>
          </cell>
          <cell r="Z1">
            <v>44643</v>
          </cell>
          <cell r="AA1">
            <v>44644</v>
          </cell>
          <cell r="AB1">
            <v>44645</v>
          </cell>
          <cell r="AC1">
            <v>44646</v>
          </cell>
          <cell r="AD1">
            <v>44647</v>
          </cell>
          <cell r="AE1">
            <v>44648</v>
          </cell>
          <cell r="AF1">
            <v>44649</v>
          </cell>
          <cell r="AG1">
            <v>44650</v>
          </cell>
          <cell r="AH1">
            <v>44651</v>
          </cell>
        </row>
        <row r="2">
          <cell r="D2">
            <v>44621</v>
          </cell>
          <cell r="E2">
            <v>44622</v>
          </cell>
          <cell r="F2">
            <v>44623</v>
          </cell>
          <cell r="G2">
            <v>44624</v>
          </cell>
          <cell r="H2">
            <v>44625</v>
          </cell>
          <cell r="I2">
            <v>44626</v>
          </cell>
          <cell r="J2">
            <v>44627</v>
          </cell>
          <cell r="K2">
            <v>44628</v>
          </cell>
          <cell r="L2">
            <v>44629</v>
          </cell>
          <cell r="M2">
            <v>44630</v>
          </cell>
          <cell r="N2">
            <v>44631</v>
          </cell>
          <cell r="O2">
            <v>44632</v>
          </cell>
          <cell r="P2">
            <v>44633</v>
          </cell>
          <cell r="Q2">
            <v>44634</v>
          </cell>
          <cell r="R2">
            <v>44635</v>
          </cell>
          <cell r="S2">
            <v>44636</v>
          </cell>
          <cell r="T2">
            <v>44637</v>
          </cell>
          <cell r="U2">
            <v>44638</v>
          </cell>
          <cell r="V2">
            <v>44639</v>
          </cell>
          <cell r="W2">
            <v>44640</v>
          </cell>
          <cell r="X2">
            <v>44641</v>
          </cell>
          <cell r="Y2">
            <v>44642</v>
          </cell>
          <cell r="Z2">
            <v>44643</v>
          </cell>
          <cell r="AA2">
            <v>44644</v>
          </cell>
          <cell r="AB2">
            <v>44645</v>
          </cell>
          <cell r="AC2">
            <v>44646</v>
          </cell>
          <cell r="AD2">
            <v>44647</v>
          </cell>
          <cell r="AE2">
            <v>44648</v>
          </cell>
          <cell r="AF2">
            <v>44649</v>
          </cell>
          <cell r="AG2">
            <v>44650</v>
          </cell>
          <cell r="AH2">
            <v>44651</v>
          </cell>
        </row>
        <row r="3">
          <cell r="D3" t="str">
            <v>澤野</v>
          </cell>
          <cell r="E3" t="str">
            <v>加藤</v>
          </cell>
          <cell r="F3" t="str">
            <v>大橋</v>
          </cell>
          <cell r="G3" t="str">
            <v>南</v>
          </cell>
          <cell r="H3" t="str">
            <v>佐藤穂</v>
          </cell>
          <cell r="I3" t="str">
            <v>大橋</v>
          </cell>
          <cell r="J3" t="str">
            <v>山村</v>
          </cell>
          <cell r="K3" t="str">
            <v>清水</v>
          </cell>
          <cell r="L3" t="str">
            <v>齊藤</v>
          </cell>
          <cell r="M3" t="str">
            <v>田村</v>
          </cell>
          <cell r="N3" t="str">
            <v>山下</v>
          </cell>
          <cell r="O3" t="str">
            <v>大橋</v>
          </cell>
          <cell r="P3" t="str">
            <v>南</v>
          </cell>
          <cell r="Q3" t="str">
            <v>加藤</v>
          </cell>
          <cell r="R3" t="str">
            <v>中村映</v>
          </cell>
          <cell r="S3" t="str">
            <v>平田恵</v>
          </cell>
          <cell r="T3" t="str">
            <v>大橋</v>
          </cell>
          <cell r="U3" t="str">
            <v>清水</v>
          </cell>
          <cell r="V3" t="str">
            <v>山本</v>
          </cell>
          <cell r="W3" t="str">
            <v>長田</v>
          </cell>
          <cell r="X3" t="str">
            <v>田村</v>
          </cell>
          <cell r="Y3" t="str">
            <v>大橋</v>
          </cell>
          <cell r="Z3" t="str">
            <v>加藤</v>
          </cell>
          <cell r="AA3" t="str">
            <v>齊藤</v>
          </cell>
          <cell r="AB3" t="str">
            <v>大橋</v>
          </cell>
          <cell r="AC3" t="str">
            <v>山村</v>
          </cell>
          <cell r="AD3" t="str">
            <v>山本</v>
          </cell>
          <cell r="AE3" t="str">
            <v>澤野</v>
          </cell>
          <cell r="AF3" t="str">
            <v>山田</v>
          </cell>
          <cell r="AG3" t="str">
            <v>平田恵</v>
          </cell>
          <cell r="AH3" t="str">
            <v>南</v>
          </cell>
        </row>
        <row r="4">
          <cell r="D4" t="str">
            <v>佐藤恵</v>
          </cell>
          <cell r="E4" t="str">
            <v>諸田</v>
          </cell>
          <cell r="F4" t="str">
            <v>山田</v>
          </cell>
          <cell r="G4" t="str">
            <v>田村</v>
          </cell>
          <cell r="H4" t="str">
            <v>西郡</v>
          </cell>
          <cell r="I4" t="str">
            <v>松木</v>
          </cell>
          <cell r="J4" t="str">
            <v>長田</v>
          </cell>
          <cell r="K4" t="str">
            <v>本田</v>
          </cell>
          <cell r="L4" t="str">
            <v>加藤</v>
          </cell>
          <cell r="M4" t="str">
            <v>庵</v>
          </cell>
          <cell r="N4" t="str">
            <v>西郡</v>
          </cell>
          <cell r="O4" t="str">
            <v>龍野</v>
          </cell>
          <cell r="P4" t="str">
            <v>佐藤恵</v>
          </cell>
          <cell r="Q4" t="str">
            <v>諸田</v>
          </cell>
          <cell r="R4" t="str">
            <v>澤野</v>
          </cell>
          <cell r="S4" t="str">
            <v>西郡</v>
          </cell>
          <cell r="T4" t="str">
            <v>南</v>
          </cell>
          <cell r="U4" t="str">
            <v>山田</v>
          </cell>
          <cell r="V4" t="str">
            <v>本田</v>
          </cell>
          <cell r="W4" t="str">
            <v>龍野</v>
          </cell>
          <cell r="X4" t="str">
            <v>庵</v>
          </cell>
          <cell r="Y4" t="str">
            <v>薬司</v>
          </cell>
          <cell r="Z4" t="str">
            <v>佐藤穂</v>
          </cell>
          <cell r="AA4" t="str">
            <v>佐藤恵</v>
          </cell>
          <cell r="AB4" t="str">
            <v>薬司</v>
          </cell>
          <cell r="AC4" t="str">
            <v>長田</v>
          </cell>
          <cell r="AD4" t="str">
            <v>西郡</v>
          </cell>
          <cell r="AE4" t="str">
            <v>清水</v>
          </cell>
          <cell r="AF4" t="str">
            <v>龍野</v>
          </cell>
          <cell r="AG4" t="str">
            <v>佐藤恵</v>
          </cell>
          <cell r="AH4" t="str">
            <v>松木</v>
          </cell>
        </row>
      </sheetData>
      <sheetData sheetId="9">
        <row r="1">
          <cell r="D1">
            <v>44621</v>
          </cell>
          <cell r="E1">
            <v>44622</v>
          </cell>
          <cell r="F1">
            <v>44623</v>
          </cell>
          <cell r="G1">
            <v>44624</v>
          </cell>
          <cell r="H1">
            <v>44625</v>
          </cell>
          <cell r="I1">
            <v>44626</v>
          </cell>
          <cell r="J1">
            <v>44627</v>
          </cell>
          <cell r="K1">
            <v>44628</v>
          </cell>
          <cell r="L1">
            <v>44629</v>
          </cell>
          <cell r="M1">
            <v>44630</v>
          </cell>
          <cell r="N1">
            <v>44631</v>
          </cell>
          <cell r="O1">
            <v>44632</v>
          </cell>
          <cell r="P1">
            <v>44633</v>
          </cell>
          <cell r="Q1">
            <v>44634</v>
          </cell>
          <cell r="R1">
            <v>44635</v>
          </cell>
          <cell r="S1">
            <v>44636</v>
          </cell>
          <cell r="T1">
            <v>44637</v>
          </cell>
          <cell r="U1">
            <v>44638</v>
          </cell>
          <cell r="V1">
            <v>44639</v>
          </cell>
          <cell r="W1">
            <v>44640</v>
          </cell>
          <cell r="X1">
            <v>44641</v>
          </cell>
          <cell r="Y1">
            <v>44642</v>
          </cell>
          <cell r="Z1">
            <v>44643</v>
          </cell>
          <cell r="AA1">
            <v>44644</v>
          </cell>
          <cell r="AB1">
            <v>44645</v>
          </cell>
          <cell r="AC1">
            <v>44646</v>
          </cell>
          <cell r="AD1">
            <v>44647</v>
          </cell>
          <cell r="AE1">
            <v>44648</v>
          </cell>
          <cell r="AF1">
            <v>44649</v>
          </cell>
          <cell r="AG1">
            <v>44650</v>
          </cell>
          <cell r="AH1">
            <v>44651</v>
          </cell>
        </row>
        <row r="2">
          <cell r="D2">
            <v>44621</v>
          </cell>
          <cell r="E2">
            <v>44622</v>
          </cell>
          <cell r="F2">
            <v>44623</v>
          </cell>
          <cell r="G2">
            <v>44624</v>
          </cell>
          <cell r="H2">
            <v>44625</v>
          </cell>
          <cell r="I2">
            <v>44626</v>
          </cell>
          <cell r="J2">
            <v>44627</v>
          </cell>
          <cell r="K2">
            <v>44628</v>
          </cell>
          <cell r="L2">
            <v>44629</v>
          </cell>
          <cell r="M2">
            <v>44630</v>
          </cell>
          <cell r="N2">
            <v>44631</v>
          </cell>
          <cell r="O2">
            <v>44632</v>
          </cell>
          <cell r="P2">
            <v>44633</v>
          </cell>
          <cell r="Q2">
            <v>44634</v>
          </cell>
          <cell r="R2">
            <v>44635</v>
          </cell>
          <cell r="S2">
            <v>44636</v>
          </cell>
          <cell r="T2">
            <v>44637</v>
          </cell>
          <cell r="U2">
            <v>44638</v>
          </cell>
          <cell r="V2">
            <v>44639</v>
          </cell>
          <cell r="W2">
            <v>44640</v>
          </cell>
          <cell r="X2">
            <v>44641</v>
          </cell>
          <cell r="Y2">
            <v>44642</v>
          </cell>
          <cell r="Z2">
            <v>44643</v>
          </cell>
          <cell r="AA2">
            <v>44644</v>
          </cell>
          <cell r="AB2">
            <v>44645</v>
          </cell>
          <cell r="AC2">
            <v>44646</v>
          </cell>
          <cell r="AD2">
            <v>44647</v>
          </cell>
          <cell r="AE2">
            <v>44648</v>
          </cell>
          <cell r="AF2">
            <v>44649</v>
          </cell>
          <cell r="AG2">
            <v>44650</v>
          </cell>
          <cell r="AH2">
            <v>44651</v>
          </cell>
        </row>
        <row r="3">
          <cell r="D3" t="str">
            <v>平田恵</v>
          </cell>
          <cell r="E3" t="str">
            <v>西郡</v>
          </cell>
          <cell r="F3" t="str">
            <v>佐藤穂</v>
          </cell>
          <cell r="G3" t="str">
            <v>庵</v>
          </cell>
          <cell r="H3" t="str">
            <v>木田</v>
          </cell>
          <cell r="I3" t="str">
            <v>宮崎</v>
          </cell>
          <cell r="J3" t="str">
            <v>大橋</v>
          </cell>
          <cell r="K3" t="str">
            <v>山村</v>
          </cell>
          <cell r="L3" t="str">
            <v>林</v>
          </cell>
          <cell r="M3" t="str">
            <v>大橋</v>
          </cell>
          <cell r="N3" t="str">
            <v/>
          </cell>
          <cell r="O3" t="str">
            <v>能登</v>
          </cell>
          <cell r="P3" t="str">
            <v>宮崎</v>
          </cell>
          <cell r="Q3" t="str">
            <v>山本</v>
          </cell>
          <cell r="R3" t="str">
            <v>加藤</v>
          </cell>
          <cell r="S3" t="str">
            <v>松木</v>
          </cell>
          <cell r="T3" t="str">
            <v>本田</v>
          </cell>
          <cell r="U3" t="str">
            <v/>
          </cell>
          <cell r="V3" t="str">
            <v>木田</v>
          </cell>
          <cell r="W3" t="str">
            <v>宮崎</v>
          </cell>
          <cell r="X3" t="str">
            <v>宮崎</v>
          </cell>
          <cell r="Y3" t="str">
            <v>長田</v>
          </cell>
          <cell r="Z3" t="str">
            <v>大橋</v>
          </cell>
          <cell r="AA3" t="str">
            <v/>
          </cell>
          <cell r="AB3" t="str">
            <v>平田真</v>
          </cell>
          <cell r="AC3" t="str">
            <v>能登</v>
          </cell>
          <cell r="AD3" t="str">
            <v>宮崎</v>
          </cell>
          <cell r="AE3" t="str">
            <v>山本</v>
          </cell>
          <cell r="AF3" t="str">
            <v>長田</v>
          </cell>
          <cell r="AG3" t="str">
            <v>山村</v>
          </cell>
          <cell r="AH3" t="str">
            <v/>
          </cell>
        </row>
        <row r="4">
          <cell r="D4" t="str">
            <v>西郡</v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>山下</v>
          </cell>
          <cell r="J4" t="str">
            <v>田村</v>
          </cell>
          <cell r="K4" t="str">
            <v>長田</v>
          </cell>
          <cell r="L4" t="str">
            <v/>
          </cell>
          <cell r="M4" t="str">
            <v>龍野</v>
          </cell>
          <cell r="N4" t="str">
            <v/>
          </cell>
          <cell r="O4" t="str">
            <v>木田</v>
          </cell>
          <cell r="P4" t="str">
            <v>山村</v>
          </cell>
          <cell r="Q4" t="str">
            <v>南</v>
          </cell>
          <cell r="R4" t="str">
            <v>諸田</v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>山村</v>
          </cell>
          <cell r="X4" t="str">
            <v>山村</v>
          </cell>
          <cell r="Y4" t="str">
            <v>田村</v>
          </cell>
          <cell r="Z4" t="str">
            <v>薬司</v>
          </cell>
          <cell r="AA4" t="str">
            <v/>
          </cell>
          <cell r="AB4" t="str">
            <v>澤野</v>
          </cell>
          <cell r="AC4" t="str">
            <v>木田</v>
          </cell>
          <cell r="AD4" t="str">
            <v>山村</v>
          </cell>
          <cell r="AE4" t="str">
            <v>西郡</v>
          </cell>
          <cell r="AF4" t="str">
            <v>澤野</v>
          </cell>
          <cell r="AG4" t="str">
            <v>諸田</v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>平田恵</v>
          </cell>
          <cell r="J5" t="str">
            <v>松木</v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>山下</v>
          </cell>
          <cell r="Q5" t="str">
            <v>佐藤恵</v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>山下</v>
          </cell>
          <cell r="X5" t="str">
            <v>山下</v>
          </cell>
          <cell r="Y5" t="str">
            <v>庵</v>
          </cell>
          <cell r="Z5" t="str">
            <v/>
          </cell>
          <cell r="AA5" t="str">
            <v/>
          </cell>
          <cell r="AB5" t="str">
            <v>庵</v>
          </cell>
          <cell r="AC5" t="str">
            <v/>
          </cell>
          <cell r="AD5" t="str">
            <v>山下</v>
          </cell>
          <cell r="AE5" t="str">
            <v/>
          </cell>
          <cell r="AF5" t="str">
            <v>清水</v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>中井</v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>平田恵</v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>平田恵</v>
          </cell>
          <cell r="X6" t="str">
            <v>平田恵</v>
          </cell>
          <cell r="Y6" t="str">
            <v>龍野</v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>平田恵</v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>北</v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>長田</v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>中井</v>
          </cell>
          <cell r="X7" t="str">
            <v>長田</v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>長田</v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>中村映</v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>中井</v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>北</v>
          </cell>
          <cell r="X8" t="str">
            <v>中井</v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>中井</v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>平田真</v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>北</v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>中村映</v>
          </cell>
          <cell r="X9" t="str">
            <v>北</v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>北</v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>山本</v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>中村映</v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>大橋</v>
          </cell>
          <cell r="X10" t="str">
            <v>中村映</v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>中村映</v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44652</v>
          </cell>
          <cell r="E1">
            <v>44653</v>
          </cell>
          <cell r="F1">
            <v>44654</v>
          </cell>
          <cell r="G1">
            <v>44655</v>
          </cell>
          <cell r="H1">
            <v>44656</v>
          </cell>
          <cell r="I1">
            <v>44657</v>
          </cell>
          <cell r="J1">
            <v>44658</v>
          </cell>
          <cell r="K1">
            <v>44659</v>
          </cell>
          <cell r="L1">
            <v>44660</v>
          </cell>
          <cell r="M1">
            <v>44661</v>
          </cell>
          <cell r="N1">
            <v>44662</v>
          </cell>
          <cell r="O1">
            <v>44663</v>
          </cell>
          <cell r="P1">
            <v>44664</v>
          </cell>
          <cell r="Q1">
            <v>44665</v>
          </cell>
          <cell r="R1">
            <v>44666</v>
          </cell>
          <cell r="S1">
            <v>44667</v>
          </cell>
          <cell r="T1">
            <v>44668</v>
          </cell>
          <cell r="U1">
            <v>44669</v>
          </cell>
          <cell r="V1">
            <v>44670</v>
          </cell>
          <cell r="W1">
            <v>44671</v>
          </cell>
          <cell r="X1">
            <v>44672</v>
          </cell>
          <cell r="Y1">
            <v>44673</v>
          </cell>
          <cell r="Z1">
            <v>44674</v>
          </cell>
          <cell r="AA1">
            <v>44675</v>
          </cell>
          <cell r="AB1">
            <v>44676</v>
          </cell>
          <cell r="AC1">
            <v>44677</v>
          </cell>
          <cell r="AD1">
            <v>44678</v>
          </cell>
          <cell r="AE1">
            <v>44679</v>
          </cell>
          <cell r="AF1">
            <v>44680</v>
          </cell>
          <cell r="AG1">
            <v>44681</v>
          </cell>
          <cell r="AH1" t="str">
            <v/>
          </cell>
        </row>
        <row r="2">
          <cell r="D2">
            <v>44652</v>
          </cell>
          <cell r="E2">
            <v>44653</v>
          </cell>
          <cell r="F2">
            <v>44654</v>
          </cell>
          <cell r="G2">
            <v>44655</v>
          </cell>
          <cell r="H2">
            <v>44656</v>
          </cell>
          <cell r="I2">
            <v>44657</v>
          </cell>
          <cell r="J2">
            <v>44658</v>
          </cell>
          <cell r="K2">
            <v>44659</v>
          </cell>
          <cell r="L2">
            <v>44660</v>
          </cell>
          <cell r="M2">
            <v>44661</v>
          </cell>
          <cell r="N2">
            <v>44662</v>
          </cell>
          <cell r="O2">
            <v>44663</v>
          </cell>
          <cell r="P2">
            <v>44664</v>
          </cell>
          <cell r="Q2">
            <v>44665</v>
          </cell>
          <cell r="R2">
            <v>44666</v>
          </cell>
          <cell r="S2">
            <v>44667</v>
          </cell>
          <cell r="T2">
            <v>44668</v>
          </cell>
          <cell r="U2">
            <v>44669</v>
          </cell>
          <cell r="V2">
            <v>44670</v>
          </cell>
          <cell r="W2">
            <v>44671</v>
          </cell>
          <cell r="X2">
            <v>44672</v>
          </cell>
          <cell r="Y2">
            <v>44673</v>
          </cell>
          <cell r="Z2">
            <v>44674</v>
          </cell>
          <cell r="AA2">
            <v>44675</v>
          </cell>
          <cell r="AB2">
            <v>44676</v>
          </cell>
          <cell r="AC2">
            <v>44677</v>
          </cell>
          <cell r="AD2">
            <v>44678</v>
          </cell>
          <cell r="AE2">
            <v>44679</v>
          </cell>
          <cell r="AF2">
            <v>44680</v>
          </cell>
          <cell r="AG2">
            <v>44681</v>
          </cell>
          <cell r="AH2" t="str">
            <v/>
          </cell>
        </row>
        <row r="3">
          <cell r="D3" t="str">
            <v>大橋</v>
          </cell>
          <cell r="E3" t="str">
            <v>田村</v>
          </cell>
          <cell r="F3" t="str">
            <v>澤野</v>
          </cell>
          <cell r="G3" t="str">
            <v>薬司</v>
          </cell>
          <cell r="H3" t="str">
            <v>佐藤恵</v>
          </cell>
          <cell r="I3" t="str">
            <v>大橋</v>
          </cell>
          <cell r="J3" t="str">
            <v>山本</v>
          </cell>
          <cell r="K3" t="str">
            <v>山田</v>
          </cell>
          <cell r="L3" t="str">
            <v>長田</v>
          </cell>
          <cell r="M3" t="str">
            <v>山下</v>
          </cell>
          <cell r="N3" t="str">
            <v>清水</v>
          </cell>
          <cell r="O3" t="str">
            <v>平田恵</v>
          </cell>
          <cell r="P3" t="str">
            <v>加藤</v>
          </cell>
          <cell r="Q3" t="str">
            <v>佐藤恵</v>
          </cell>
          <cell r="R3" t="str">
            <v>庵</v>
          </cell>
          <cell r="S3" t="str">
            <v>薬司</v>
          </cell>
          <cell r="T3" t="str">
            <v>大橋</v>
          </cell>
          <cell r="U3" t="str">
            <v>南</v>
          </cell>
          <cell r="V3" t="str">
            <v>長田</v>
          </cell>
          <cell r="W3" t="str">
            <v>佐藤穂</v>
          </cell>
          <cell r="X3" t="str">
            <v>加藤</v>
          </cell>
          <cell r="Y3" t="str">
            <v>澤野</v>
          </cell>
          <cell r="Z3" t="str">
            <v>清水</v>
          </cell>
          <cell r="AA3" t="str">
            <v>山本</v>
          </cell>
          <cell r="AB3" t="str">
            <v>平田恵</v>
          </cell>
          <cell r="AC3" t="str">
            <v>大橋</v>
          </cell>
          <cell r="AD3" t="str">
            <v>齊藤</v>
          </cell>
          <cell r="AE3" t="str">
            <v>南</v>
          </cell>
          <cell r="AF3" t="str">
            <v>清水</v>
          </cell>
          <cell r="AG3" t="str">
            <v>山田</v>
          </cell>
          <cell r="AH3" t="str">
            <v/>
          </cell>
        </row>
        <row r="4">
          <cell r="D4" t="str">
            <v>庵</v>
          </cell>
          <cell r="E4" t="str">
            <v>佐藤穂</v>
          </cell>
          <cell r="F4" t="str">
            <v>加藤</v>
          </cell>
          <cell r="G4" t="str">
            <v>西郡</v>
          </cell>
          <cell r="H4" t="str">
            <v>本田</v>
          </cell>
          <cell r="I4" t="str">
            <v>庵</v>
          </cell>
          <cell r="J4" t="str">
            <v>松木</v>
          </cell>
          <cell r="K4" t="str">
            <v>佐藤穂</v>
          </cell>
          <cell r="L4" t="str">
            <v>龍野</v>
          </cell>
          <cell r="M4" t="str">
            <v>田村</v>
          </cell>
          <cell r="N4" t="str">
            <v>齊藤</v>
          </cell>
          <cell r="O4" t="str">
            <v>大橋</v>
          </cell>
          <cell r="P4" t="str">
            <v>諸田</v>
          </cell>
          <cell r="Q4" t="str">
            <v>本田</v>
          </cell>
          <cell r="R4" t="str">
            <v>松木</v>
          </cell>
          <cell r="S4" t="str">
            <v>西郡</v>
          </cell>
          <cell r="T4" t="str">
            <v>龍野</v>
          </cell>
          <cell r="U4" t="str">
            <v>佐藤恵</v>
          </cell>
          <cell r="V4" t="str">
            <v>齊藤</v>
          </cell>
          <cell r="W4" t="str">
            <v>松木</v>
          </cell>
          <cell r="X4" t="str">
            <v>本田</v>
          </cell>
          <cell r="Y4" t="str">
            <v>西郡</v>
          </cell>
          <cell r="Z4" t="str">
            <v>諸田</v>
          </cell>
          <cell r="AA4" t="str">
            <v>佐藤恵</v>
          </cell>
          <cell r="AB4" t="str">
            <v>加藤</v>
          </cell>
          <cell r="AC4" t="str">
            <v>薬司</v>
          </cell>
          <cell r="AD4" t="str">
            <v>西郡</v>
          </cell>
          <cell r="AE4" t="str">
            <v>松木</v>
          </cell>
          <cell r="AF4" t="str">
            <v>林</v>
          </cell>
          <cell r="AG4" t="str">
            <v>田村</v>
          </cell>
          <cell r="AH4" t="str">
            <v/>
          </cell>
        </row>
      </sheetData>
      <sheetData sheetId="9">
        <row r="1">
          <cell r="D1">
            <v>44652</v>
          </cell>
          <cell r="E1">
            <v>44653</v>
          </cell>
          <cell r="F1">
            <v>44654</v>
          </cell>
          <cell r="G1">
            <v>44655</v>
          </cell>
          <cell r="H1">
            <v>44656</v>
          </cell>
          <cell r="I1">
            <v>44657</v>
          </cell>
          <cell r="J1">
            <v>44658</v>
          </cell>
          <cell r="K1">
            <v>44659</v>
          </cell>
          <cell r="L1">
            <v>44660</v>
          </cell>
          <cell r="M1">
            <v>44661</v>
          </cell>
          <cell r="N1">
            <v>44662</v>
          </cell>
          <cell r="O1">
            <v>44663</v>
          </cell>
          <cell r="P1">
            <v>44664</v>
          </cell>
          <cell r="Q1">
            <v>44665</v>
          </cell>
          <cell r="R1">
            <v>44666</v>
          </cell>
          <cell r="S1">
            <v>44667</v>
          </cell>
          <cell r="T1">
            <v>44668</v>
          </cell>
          <cell r="U1">
            <v>44669</v>
          </cell>
          <cell r="V1">
            <v>44670</v>
          </cell>
          <cell r="W1">
            <v>44671</v>
          </cell>
          <cell r="X1">
            <v>44672</v>
          </cell>
          <cell r="Y1">
            <v>44673</v>
          </cell>
          <cell r="Z1">
            <v>44674</v>
          </cell>
          <cell r="AA1">
            <v>44675</v>
          </cell>
          <cell r="AB1">
            <v>44676</v>
          </cell>
          <cell r="AC1">
            <v>44677</v>
          </cell>
          <cell r="AD1">
            <v>44678</v>
          </cell>
          <cell r="AE1">
            <v>44679</v>
          </cell>
          <cell r="AF1">
            <v>44680</v>
          </cell>
          <cell r="AG1">
            <v>44681</v>
          </cell>
          <cell r="AH1" t="str">
            <v/>
          </cell>
        </row>
        <row r="2">
          <cell r="D2">
            <v>44652</v>
          </cell>
          <cell r="E2">
            <v>44653</v>
          </cell>
          <cell r="F2">
            <v>44654</v>
          </cell>
          <cell r="G2">
            <v>44655</v>
          </cell>
          <cell r="H2">
            <v>44656</v>
          </cell>
          <cell r="I2">
            <v>44657</v>
          </cell>
          <cell r="J2">
            <v>44658</v>
          </cell>
          <cell r="K2">
            <v>44659</v>
          </cell>
          <cell r="L2">
            <v>44660</v>
          </cell>
          <cell r="M2">
            <v>44661</v>
          </cell>
          <cell r="N2">
            <v>44662</v>
          </cell>
          <cell r="O2">
            <v>44663</v>
          </cell>
          <cell r="P2">
            <v>44664</v>
          </cell>
          <cell r="Q2">
            <v>44665</v>
          </cell>
          <cell r="R2">
            <v>44666</v>
          </cell>
          <cell r="S2">
            <v>44667</v>
          </cell>
          <cell r="T2">
            <v>44668</v>
          </cell>
          <cell r="U2">
            <v>44669</v>
          </cell>
          <cell r="V2">
            <v>44670</v>
          </cell>
          <cell r="W2">
            <v>44671</v>
          </cell>
          <cell r="X2">
            <v>44672</v>
          </cell>
          <cell r="Y2">
            <v>44673</v>
          </cell>
          <cell r="Z2">
            <v>44674</v>
          </cell>
          <cell r="AA2">
            <v>44675</v>
          </cell>
          <cell r="AB2">
            <v>44676</v>
          </cell>
          <cell r="AC2">
            <v>44677</v>
          </cell>
          <cell r="AD2">
            <v>44678</v>
          </cell>
          <cell r="AE2">
            <v>44679</v>
          </cell>
          <cell r="AF2">
            <v>44680</v>
          </cell>
          <cell r="AG2">
            <v>44681</v>
          </cell>
          <cell r="AH2" t="str">
            <v/>
          </cell>
        </row>
        <row r="3">
          <cell r="D3" t="str">
            <v/>
          </cell>
          <cell r="E3" t="str">
            <v>木田</v>
          </cell>
          <cell r="F3" t="str">
            <v>山村</v>
          </cell>
          <cell r="G3" t="str">
            <v>澤野</v>
          </cell>
          <cell r="H3" t="str">
            <v>薬司</v>
          </cell>
          <cell r="I3" t="str">
            <v>龍野</v>
          </cell>
          <cell r="J3" t="str">
            <v>田村</v>
          </cell>
          <cell r="K3" t="str">
            <v>林</v>
          </cell>
          <cell r="L3" t="str">
            <v>能登</v>
          </cell>
          <cell r="M3" t="str">
            <v>山村</v>
          </cell>
          <cell r="N3" t="str">
            <v>山下</v>
          </cell>
          <cell r="O3" t="str">
            <v>清水</v>
          </cell>
          <cell r="P3" t="str">
            <v>田村</v>
          </cell>
          <cell r="Q3" t="str">
            <v>澤野</v>
          </cell>
          <cell r="R3" t="str">
            <v/>
          </cell>
          <cell r="S3" t="str">
            <v>木田</v>
          </cell>
          <cell r="T3" t="str">
            <v>山村</v>
          </cell>
          <cell r="U3" t="str">
            <v>大橋</v>
          </cell>
          <cell r="V3" t="str">
            <v>南</v>
          </cell>
          <cell r="W3" t="str">
            <v>長田</v>
          </cell>
          <cell r="X3" t="str">
            <v>薬司</v>
          </cell>
          <cell r="Y3" t="str">
            <v>山田</v>
          </cell>
          <cell r="Z3" t="str">
            <v>能登</v>
          </cell>
          <cell r="AA3" t="str">
            <v>山村</v>
          </cell>
          <cell r="AB3" t="str">
            <v>山本</v>
          </cell>
          <cell r="AC3" t="str">
            <v>平田恵</v>
          </cell>
          <cell r="AD3" t="str">
            <v>清水</v>
          </cell>
          <cell r="AE3" t="str">
            <v>山田</v>
          </cell>
          <cell r="AF3" t="str">
            <v>山村</v>
          </cell>
          <cell r="AG3" t="str">
            <v>木田</v>
          </cell>
          <cell r="AH3" t="str">
            <v/>
          </cell>
        </row>
        <row r="4">
          <cell r="D4" t="str">
            <v/>
          </cell>
          <cell r="E4" t="str">
            <v/>
          </cell>
          <cell r="F4" t="str">
            <v>山下</v>
          </cell>
          <cell r="G4" t="str">
            <v>加藤</v>
          </cell>
          <cell r="H4" t="str">
            <v>西郡</v>
          </cell>
          <cell r="I4" t="str">
            <v/>
          </cell>
          <cell r="J4" t="str">
            <v/>
          </cell>
          <cell r="K4" t="str">
            <v>田村</v>
          </cell>
          <cell r="L4" t="str">
            <v>木田</v>
          </cell>
          <cell r="M4" t="str">
            <v>平田恵</v>
          </cell>
          <cell r="N4" t="str">
            <v>佐藤穂</v>
          </cell>
          <cell r="O4" t="str">
            <v>齊藤</v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>山下</v>
          </cell>
          <cell r="U4" t="str">
            <v>龍野</v>
          </cell>
          <cell r="V4" t="str">
            <v>佐藤恵</v>
          </cell>
          <cell r="W4" t="str">
            <v>山田</v>
          </cell>
          <cell r="X4" t="str">
            <v>諸田</v>
          </cell>
          <cell r="Y4" t="str">
            <v>田村</v>
          </cell>
          <cell r="Z4" t="str">
            <v>木田</v>
          </cell>
          <cell r="AA4" t="str">
            <v>山下</v>
          </cell>
          <cell r="AB4" t="str">
            <v>清水</v>
          </cell>
          <cell r="AC4" t="str">
            <v>南</v>
          </cell>
          <cell r="AD4" t="str">
            <v>林</v>
          </cell>
          <cell r="AE4" t="str">
            <v>西郡</v>
          </cell>
          <cell r="AF4" t="str">
            <v>山下</v>
          </cell>
          <cell r="AG4" t="str">
            <v/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>平田恵</v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>長田</v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>平田恵</v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>長田</v>
          </cell>
          <cell r="AB5" t="str">
            <v>佐藤恵</v>
          </cell>
          <cell r="AC5" t="str">
            <v>加藤</v>
          </cell>
          <cell r="AD5" t="str">
            <v/>
          </cell>
          <cell r="AE5" t="str">
            <v>諸田</v>
          </cell>
          <cell r="AF5" t="str">
            <v>平田恵</v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>長田</v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>中井</v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>長田</v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>中井</v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>長田</v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>中井</v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>北</v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>中井</v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>北</v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>中井</v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>北</v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>中村映</v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>北</v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>中村映</v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>北</v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>中村映</v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>平田真</v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>中村映</v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>平田真</v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>中村映</v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>平田真</v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>大橋</v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>平田真</v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>大橋</v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>平田真</v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44682</v>
          </cell>
          <cell r="E1">
            <v>44683</v>
          </cell>
          <cell r="F1">
            <v>44684</v>
          </cell>
          <cell r="G1">
            <v>44685</v>
          </cell>
          <cell r="H1">
            <v>44686</v>
          </cell>
          <cell r="I1">
            <v>44687</v>
          </cell>
          <cell r="J1">
            <v>44688</v>
          </cell>
          <cell r="K1">
            <v>44689</v>
          </cell>
          <cell r="L1">
            <v>44690</v>
          </cell>
          <cell r="M1">
            <v>44691</v>
          </cell>
          <cell r="N1">
            <v>44692</v>
          </cell>
          <cell r="O1">
            <v>44693</v>
          </cell>
          <cell r="P1">
            <v>44694</v>
          </cell>
          <cell r="Q1">
            <v>44695</v>
          </cell>
          <cell r="R1">
            <v>44696</v>
          </cell>
          <cell r="S1">
            <v>44697</v>
          </cell>
          <cell r="T1">
            <v>44698</v>
          </cell>
          <cell r="U1">
            <v>44699</v>
          </cell>
          <cell r="V1">
            <v>44700</v>
          </cell>
          <cell r="W1">
            <v>44701</v>
          </cell>
          <cell r="X1">
            <v>44702</v>
          </cell>
          <cell r="Y1">
            <v>44703</v>
          </cell>
          <cell r="Z1">
            <v>44704</v>
          </cell>
          <cell r="AA1">
            <v>44705</v>
          </cell>
          <cell r="AB1">
            <v>44706</v>
          </cell>
          <cell r="AC1">
            <v>44707</v>
          </cell>
          <cell r="AD1">
            <v>44708</v>
          </cell>
          <cell r="AE1">
            <v>44709</v>
          </cell>
          <cell r="AF1">
            <v>44710</v>
          </cell>
          <cell r="AG1">
            <v>44711</v>
          </cell>
          <cell r="AH1">
            <v>44712</v>
          </cell>
        </row>
        <row r="2">
          <cell r="D2">
            <v>44682</v>
          </cell>
          <cell r="E2">
            <v>44683</v>
          </cell>
          <cell r="F2">
            <v>44684</v>
          </cell>
          <cell r="G2">
            <v>44685</v>
          </cell>
          <cell r="H2">
            <v>44686</v>
          </cell>
          <cell r="I2">
            <v>44687</v>
          </cell>
          <cell r="J2">
            <v>44688</v>
          </cell>
          <cell r="K2">
            <v>44689</v>
          </cell>
          <cell r="L2">
            <v>44690</v>
          </cell>
          <cell r="M2">
            <v>44691</v>
          </cell>
          <cell r="N2">
            <v>44692</v>
          </cell>
          <cell r="O2">
            <v>44693</v>
          </cell>
          <cell r="P2">
            <v>44694</v>
          </cell>
          <cell r="Q2">
            <v>44695</v>
          </cell>
          <cell r="R2">
            <v>44696</v>
          </cell>
          <cell r="S2">
            <v>44697</v>
          </cell>
          <cell r="T2">
            <v>44698</v>
          </cell>
          <cell r="U2">
            <v>44699</v>
          </cell>
          <cell r="V2">
            <v>44700</v>
          </cell>
          <cell r="W2">
            <v>44701</v>
          </cell>
          <cell r="X2">
            <v>44702</v>
          </cell>
          <cell r="Y2">
            <v>44703</v>
          </cell>
          <cell r="Z2">
            <v>44704</v>
          </cell>
          <cell r="AA2">
            <v>44705</v>
          </cell>
          <cell r="AB2">
            <v>44706</v>
          </cell>
          <cell r="AC2">
            <v>44707</v>
          </cell>
          <cell r="AD2">
            <v>44708</v>
          </cell>
          <cell r="AE2">
            <v>44709</v>
          </cell>
          <cell r="AF2">
            <v>44710</v>
          </cell>
          <cell r="AG2">
            <v>44711</v>
          </cell>
          <cell r="AH2">
            <v>44712</v>
          </cell>
        </row>
        <row r="3">
          <cell r="D3" t="str">
            <v>長田</v>
          </cell>
          <cell r="E3" t="str">
            <v>佐藤恵</v>
          </cell>
          <cell r="F3" t="str">
            <v>南</v>
          </cell>
          <cell r="G3" t="str">
            <v>平田恵</v>
          </cell>
          <cell r="H3" t="str">
            <v>澤野</v>
          </cell>
          <cell r="I3" t="str">
            <v>大橋</v>
          </cell>
          <cell r="J3" t="str">
            <v>清水</v>
          </cell>
          <cell r="K3" t="str">
            <v>佐藤穂</v>
          </cell>
          <cell r="L3" t="str">
            <v>長田</v>
          </cell>
          <cell r="M3" t="str">
            <v>南</v>
          </cell>
          <cell r="N3" t="str">
            <v>澤野</v>
          </cell>
          <cell r="O3" t="str">
            <v>大橋</v>
          </cell>
          <cell r="P3" t="str">
            <v>清水</v>
          </cell>
          <cell r="Q3" t="str">
            <v>平田恵</v>
          </cell>
          <cell r="R3" t="str">
            <v>諸田</v>
          </cell>
          <cell r="S3" t="str">
            <v>佐藤恵</v>
          </cell>
          <cell r="T3" t="str">
            <v>山本</v>
          </cell>
          <cell r="U3" t="str">
            <v>大橋</v>
          </cell>
          <cell r="V3" t="str">
            <v>山田</v>
          </cell>
          <cell r="W3" t="str">
            <v>本田</v>
          </cell>
          <cell r="X3" t="str">
            <v>長田</v>
          </cell>
          <cell r="Y3" t="str">
            <v>林</v>
          </cell>
          <cell r="Z3" t="str">
            <v>大橋</v>
          </cell>
          <cell r="AA3" t="str">
            <v>田村</v>
          </cell>
          <cell r="AB3" t="str">
            <v>加藤</v>
          </cell>
          <cell r="AC3" t="str">
            <v>平田恵</v>
          </cell>
          <cell r="AD3" t="str">
            <v>山本</v>
          </cell>
          <cell r="AE3" t="str">
            <v>山田</v>
          </cell>
          <cell r="AF3" t="str">
            <v>清水</v>
          </cell>
          <cell r="AG3" t="str">
            <v>山下</v>
          </cell>
          <cell r="AH3" t="str">
            <v>長田</v>
          </cell>
        </row>
        <row r="4">
          <cell r="D4" t="str">
            <v>庵</v>
          </cell>
          <cell r="E4" t="str">
            <v>本田</v>
          </cell>
          <cell r="F4" t="str">
            <v>西郡</v>
          </cell>
          <cell r="G4" t="str">
            <v/>
          </cell>
          <cell r="H4" t="str">
            <v>加藤</v>
          </cell>
          <cell r="I4" t="str">
            <v>諸田</v>
          </cell>
          <cell r="J4" t="str">
            <v>龍野</v>
          </cell>
          <cell r="K4" t="str">
            <v>西郡</v>
          </cell>
          <cell r="L4" t="str">
            <v>薬司</v>
          </cell>
          <cell r="M4" t="str">
            <v>佐藤恵</v>
          </cell>
          <cell r="N4" t="str">
            <v>加藤</v>
          </cell>
          <cell r="O4" t="str">
            <v>佐藤穂</v>
          </cell>
          <cell r="P4" t="str">
            <v>庵</v>
          </cell>
          <cell r="Q4" t="str">
            <v>田村</v>
          </cell>
          <cell r="R4" t="str">
            <v/>
          </cell>
          <cell r="S4" t="str">
            <v>本田</v>
          </cell>
          <cell r="T4" t="str">
            <v>加藤</v>
          </cell>
          <cell r="U4" t="str">
            <v>南</v>
          </cell>
          <cell r="V4" t="str">
            <v/>
          </cell>
          <cell r="W4" t="str">
            <v>薬司</v>
          </cell>
          <cell r="X4" t="str">
            <v>齊藤</v>
          </cell>
          <cell r="Y4" t="str">
            <v>西郡</v>
          </cell>
          <cell r="Z4" t="str">
            <v>龍野</v>
          </cell>
          <cell r="AA4" t="str">
            <v>庵</v>
          </cell>
          <cell r="AB4" t="str">
            <v>諸田</v>
          </cell>
          <cell r="AC4" t="str">
            <v>佐藤恵</v>
          </cell>
          <cell r="AD4" t="str">
            <v>田村</v>
          </cell>
          <cell r="AE4" t="str">
            <v>西郡</v>
          </cell>
          <cell r="AF4" t="str">
            <v>齊藤</v>
          </cell>
          <cell r="AG4" t="str">
            <v/>
          </cell>
          <cell r="AH4" t="str">
            <v>龍野</v>
          </cell>
        </row>
      </sheetData>
      <sheetData sheetId="9">
        <row r="1">
          <cell r="D1">
            <v>44682</v>
          </cell>
          <cell r="E1">
            <v>44683</v>
          </cell>
          <cell r="F1">
            <v>44684</v>
          </cell>
          <cell r="G1">
            <v>44685</v>
          </cell>
          <cell r="H1">
            <v>44686</v>
          </cell>
          <cell r="I1">
            <v>44687</v>
          </cell>
          <cell r="J1">
            <v>44688</v>
          </cell>
          <cell r="K1">
            <v>44689</v>
          </cell>
          <cell r="L1">
            <v>44690</v>
          </cell>
          <cell r="M1">
            <v>44691</v>
          </cell>
          <cell r="N1">
            <v>44692</v>
          </cell>
          <cell r="O1">
            <v>44693</v>
          </cell>
          <cell r="P1">
            <v>44694</v>
          </cell>
          <cell r="Q1">
            <v>44695</v>
          </cell>
          <cell r="R1">
            <v>44696</v>
          </cell>
          <cell r="S1">
            <v>44697</v>
          </cell>
          <cell r="T1">
            <v>44698</v>
          </cell>
          <cell r="U1">
            <v>44699</v>
          </cell>
          <cell r="V1">
            <v>44700</v>
          </cell>
          <cell r="W1">
            <v>44701</v>
          </cell>
          <cell r="X1">
            <v>44702</v>
          </cell>
          <cell r="Y1">
            <v>44703</v>
          </cell>
          <cell r="Z1">
            <v>44704</v>
          </cell>
          <cell r="AA1">
            <v>44705</v>
          </cell>
          <cell r="AB1">
            <v>44706</v>
          </cell>
          <cell r="AC1">
            <v>44707</v>
          </cell>
          <cell r="AD1">
            <v>44708</v>
          </cell>
          <cell r="AE1">
            <v>44709</v>
          </cell>
          <cell r="AF1">
            <v>44710</v>
          </cell>
          <cell r="AG1">
            <v>44711</v>
          </cell>
          <cell r="AH1">
            <v>44712</v>
          </cell>
        </row>
        <row r="2">
          <cell r="D2">
            <v>44682</v>
          </cell>
          <cell r="E2">
            <v>44683</v>
          </cell>
          <cell r="F2">
            <v>44684</v>
          </cell>
          <cell r="G2">
            <v>44685</v>
          </cell>
          <cell r="H2">
            <v>44686</v>
          </cell>
          <cell r="I2">
            <v>44687</v>
          </cell>
          <cell r="J2">
            <v>44688</v>
          </cell>
          <cell r="K2">
            <v>44689</v>
          </cell>
          <cell r="L2">
            <v>44690</v>
          </cell>
          <cell r="M2">
            <v>44691</v>
          </cell>
          <cell r="N2">
            <v>44692</v>
          </cell>
          <cell r="O2">
            <v>44693</v>
          </cell>
          <cell r="P2">
            <v>44694</v>
          </cell>
          <cell r="Q2">
            <v>44695</v>
          </cell>
          <cell r="R2">
            <v>44696</v>
          </cell>
          <cell r="S2">
            <v>44697</v>
          </cell>
          <cell r="T2">
            <v>44698</v>
          </cell>
          <cell r="U2">
            <v>44699</v>
          </cell>
          <cell r="V2">
            <v>44700</v>
          </cell>
          <cell r="W2">
            <v>44701</v>
          </cell>
          <cell r="X2">
            <v>44702</v>
          </cell>
          <cell r="Y2">
            <v>44703</v>
          </cell>
          <cell r="Z2">
            <v>44704</v>
          </cell>
          <cell r="AA2">
            <v>44705</v>
          </cell>
          <cell r="AB2">
            <v>44706</v>
          </cell>
          <cell r="AC2">
            <v>44707</v>
          </cell>
          <cell r="AD2">
            <v>44708</v>
          </cell>
          <cell r="AE2">
            <v>44709</v>
          </cell>
          <cell r="AF2">
            <v>44710</v>
          </cell>
          <cell r="AG2">
            <v>44711</v>
          </cell>
          <cell r="AH2">
            <v>44712</v>
          </cell>
        </row>
        <row r="3">
          <cell r="D3" t="str">
            <v>山村</v>
          </cell>
          <cell r="E3" t="str">
            <v>長田</v>
          </cell>
          <cell r="F3" t="str">
            <v>山村</v>
          </cell>
          <cell r="G3" t="str">
            <v>山村</v>
          </cell>
          <cell r="H3" t="str">
            <v>山村</v>
          </cell>
          <cell r="I3" t="str">
            <v>澤野</v>
          </cell>
          <cell r="J3" t="str">
            <v>能登</v>
          </cell>
          <cell r="K3" t="str">
            <v>山村</v>
          </cell>
          <cell r="L3" t="str">
            <v>平田恵</v>
          </cell>
          <cell r="M3" t="str">
            <v>平田恵</v>
          </cell>
          <cell r="N3" t="str">
            <v>南</v>
          </cell>
          <cell r="O3" t="str">
            <v>澤野</v>
          </cell>
          <cell r="P3" t="str">
            <v>大橋</v>
          </cell>
          <cell r="Q3" t="str">
            <v>木田</v>
          </cell>
          <cell r="R3" t="str">
            <v>山村</v>
          </cell>
          <cell r="S3" t="str">
            <v>諸田</v>
          </cell>
          <cell r="T3" t="str">
            <v>山下</v>
          </cell>
          <cell r="U3" t="str">
            <v>山本</v>
          </cell>
          <cell r="V3" t="str">
            <v>平田恵</v>
          </cell>
          <cell r="W3" t="str">
            <v>庵</v>
          </cell>
          <cell r="X3" t="str">
            <v>能登</v>
          </cell>
          <cell r="Y3" t="str">
            <v>山村</v>
          </cell>
          <cell r="Z3" t="str">
            <v>林</v>
          </cell>
          <cell r="AA3" t="str">
            <v>大橋</v>
          </cell>
          <cell r="AB3" t="str">
            <v>長田</v>
          </cell>
          <cell r="AC3" t="str">
            <v>清水</v>
          </cell>
          <cell r="AD3" t="str">
            <v>佐藤恵</v>
          </cell>
          <cell r="AE3" t="str">
            <v>山村</v>
          </cell>
          <cell r="AF3" t="str">
            <v>山村</v>
          </cell>
          <cell r="AG3" t="str">
            <v>清水</v>
          </cell>
          <cell r="AH3" t="str">
            <v>山下</v>
          </cell>
        </row>
        <row r="4">
          <cell r="D4" t="str">
            <v>山下</v>
          </cell>
          <cell r="E4" t="str">
            <v>庵</v>
          </cell>
          <cell r="F4" t="str">
            <v>山下</v>
          </cell>
          <cell r="G4" t="str">
            <v>山下</v>
          </cell>
          <cell r="H4" t="str">
            <v>山下</v>
          </cell>
          <cell r="I4" t="str">
            <v>加藤</v>
          </cell>
          <cell r="J4" t="str">
            <v>木田</v>
          </cell>
          <cell r="K4" t="str">
            <v>山下</v>
          </cell>
          <cell r="L4" t="str">
            <v>田村</v>
          </cell>
          <cell r="M4" t="str">
            <v>長田</v>
          </cell>
          <cell r="N4" t="str">
            <v>齊藤</v>
          </cell>
          <cell r="O4" t="str">
            <v>加藤</v>
          </cell>
          <cell r="P4" t="str">
            <v>龍野</v>
          </cell>
          <cell r="Q4" t="str">
            <v/>
          </cell>
          <cell r="R4" t="str">
            <v>平田恵</v>
          </cell>
          <cell r="S4" t="str">
            <v/>
          </cell>
          <cell r="T4" t="str">
            <v>佐藤恵</v>
          </cell>
          <cell r="U4" t="str">
            <v>林</v>
          </cell>
          <cell r="V4" t="str">
            <v/>
          </cell>
          <cell r="W4" t="str">
            <v>西郡</v>
          </cell>
          <cell r="X4" t="str">
            <v>木田</v>
          </cell>
          <cell r="Y4" t="str">
            <v>山下</v>
          </cell>
          <cell r="Z4" t="str">
            <v>西郡</v>
          </cell>
          <cell r="AA4" t="str">
            <v>龍野</v>
          </cell>
          <cell r="AB4" t="str">
            <v>齊藤</v>
          </cell>
          <cell r="AC4" t="str">
            <v>西郡</v>
          </cell>
          <cell r="AD4" t="str">
            <v>本田</v>
          </cell>
          <cell r="AE4" t="str">
            <v>木田</v>
          </cell>
          <cell r="AF4" t="str">
            <v>平田恵</v>
          </cell>
          <cell r="AG4" t="str">
            <v>齊藤</v>
          </cell>
          <cell r="AH4" t="str">
            <v>山田</v>
          </cell>
        </row>
        <row r="5">
          <cell r="D5" t="str">
            <v>平田恵</v>
          </cell>
          <cell r="E5" t="str">
            <v>諸田</v>
          </cell>
          <cell r="F5" t="str">
            <v>長田</v>
          </cell>
          <cell r="G5" t="str">
            <v>長田</v>
          </cell>
          <cell r="H5" t="str">
            <v>平田恵</v>
          </cell>
          <cell r="I5" t="str">
            <v/>
          </cell>
          <cell r="J5" t="str">
            <v/>
          </cell>
          <cell r="K5" t="str">
            <v>平田恵</v>
          </cell>
          <cell r="L5" t="str">
            <v>佐藤穂</v>
          </cell>
          <cell r="M5" t="str">
            <v>薬司</v>
          </cell>
          <cell r="N5" t="str">
            <v>西郡</v>
          </cell>
          <cell r="O5" t="str">
            <v/>
          </cell>
          <cell r="P5" t="str">
            <v/>
          </cell>
          <cell r="Q5" t="str">
            <v/>
          </cell>
          <cell r="R5" t="str">
            <v>長田</v>
          </cell>
          <cell r="S5" t="str">
            <v/>
          </cell>
          <cell r="T5" t="str">
            <v>本田</v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>平田恵</v>
          </cell>
          <cell r="Z5" t="str">
            <v>諸田</v>
          </cell>
          <cell r="AA5" t="str">
            <v/>
          </cell>
          <cell r="AB5" t="str">
            <v>松木</v>
          </cell>
          <cell r="AC5" t="str">
            <v/>
          </cell>
          <cell r="AD5" t="str">
            <v>薬司</v>
          </cell>
          <cell r="AE5" t="str">
            <v/>
          </cell>
          <cell r="AF5" t="str">
            <v>長田</v>
          </cell>
          <cell r="AG5" t="str">
            <v>佐藤穂</v>
          </cell>
          <cell r="AH5" t="str">
            <v/>
          </cell>
        </row>
        <row r="6">
          <cell r="D6" t="str">
            <v>中井</v>
          </cell>
          <cell r="E6" t="str">
            <v/>
          </cell>
          <cell r="F6" t="str">
            <v>中井</v>
          </cell>
          <cell r="G6" t="str">
            <v>中井</v>
          </cell>
          <cell r="H6" t="str">
            <v>長田</v>
          </cell>
          <cell r="I6" t="str">
            <v/>
          </cell>
          <cell r="J6" t="str">
            <v/>
          </cell>
          <cell r="K6" t="str">
            <v>中井</v>
          </cell>
          <cell r="L6" t="str">
            <v/>
          </cell>
          <cell r="M6" t="str">
            <v/>
          </cell>
          <cell r="N6" t="str">
            <v>松木</v>
          </cell>
          <cell r="O6" t="str">
            <v/>
          </cell>
          <cell r="P6" t="str">
            <v/>
          </cell>
          <cell r="Q6" t="str">
            <v/>
          </cell>
          <cell r="R6" t="str">
            <v>中井</v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>長田</v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>中井</v>
          </cell>
          <cell r="AG6" t="str">
            <v>松木</v>
          </cell>
          <cell r="AH6" t="str">
            <v/>
          </cell>
        </row>
        <row r="7">
          <cell r="D7" t="str">
            <v>北</v>
          </cell>
          <cell r="E7" t="str">
            <v/>
          </cell>
          <cell r="F7" t="str">
            <v>北</v>
          </cell>
          <cell r="G7" t="str">
            <v>北</v>
          </cell>
          <cell r="H7" t="str">
            <v>中井</v>
          </cell>
          <cell r="I7" t="str">
            <v/>
          </cell>
          <cell r="J7" t="str">
            <v/>
          </cell>
          <cell r="K7" t="str">
            <v>北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>北</v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>中井</v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>北</v>
          </cell>
          <cell r="AG7" t="str">
            <v/>
          </cell>
          <cell r="AH7" t="str">
            <v/>
          </cell>
        </row>
        <row r="8">
          <cell r="D8" t="str">
            <v>中村映</v>
          </cell>
          <cell r="E8" t="str">
            <v/>
          </cell>
          <cell r="F8" t="str">
            <v>中村映</v>
          </cell>
          <cell r="G8" t="str">
            <v>中村映</v>
          </cell>
          <cell r="H8" t="str">
            <v>北</v>
          </cell>
          <cell r="I8" t="str">
            <v/>
          </cell>
          <cell r="J8" t="str">
            <v/>
          </cell>
          <cell r="K8" t="str">
            <v>中村映</v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>中村映</v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>北</v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>中村映</v>
          </cell>
          <cell r="AG8" t="str">
            <v/>
          </cell>
          <cell r="AH8" t="str">
            <v/>
          </cell>
        </row>
        <row r="9">
          <cell r="D9" t="str">
            <v>平田真</v>
          </cell>
          <cell r="E9" t="str">
            <v/>
          </cell>
          <cell r="F9" t="str">
            <v>平田真</v>
          </cell>
          <cell r="G9" t="str">
            <v>平田真</v>
          </cell>
          <cell r="H9" t="str">
            <v>中村映</v>
          </cell>
          <cell r="I9" t="str">
            <v/>
          </cell>
          <cell r="J9" t="str">
            <v/>
          </cell>
          <cell r="K9" t="str">
            <v>平田真</v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>平田真</v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>中村映</v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>平田真</v>
          </cell>
          <cell r="AG9" t="str">
            <v/>
          </cell>
          <cell r="AH9" t="str">
            <v/>
          </cell>
        </row>
        <row r="10">
          <cell r="D10" t="str">
            <v>大橋</v>
          </cell>
          <cell r="E10" t="str">
            <v/>
          </cell>
          <cell r="F10" t="str">
            <v>大橋</v>
          </cell>
          <cell r="G10" t="str">
            <v>大橋</v>
          </cell>
          <cell r="H10" t="str">
            <v>平田真</v>
          </cell>
          <cell r="I10" t="str">
            <v/>
          </cell>
          <cell r="J10" t="str">
            <v/>
          </cell>
          <cell r="K10" t="str">
            <v>大橋</v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>大橋</v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>平田真</v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>大橋</v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44713</v>
          </cell>
          <cell r="E1">
            <v>44714</v>
          </cell>
          <cell r="F1">
            <v>44715</v>
          </cell>
          <cell r="G1">
            <v>44716</v>
          </cell>
          <cell r="H1">
            <v>44717</v>
          </cell>
          <cell r="I1">
            <v>44718</v>
          </cell>
          <cell r="J1">
            <v>44719</v>
          </cell>
          <cell r="K1">
            <v>44720</v>
          </cell>
          <cell r="L1">
            <v>44721</v>
          </cell>
          <cell r="M1">
            <v>44722</v>
          </cell>
          <cell r="N1">
            <v>44723</v>
          </cell>
          <cell r="O1">
            <v>44724</v>
          </cell>
          <cell r="P1">
            <v>44725</v>
          </cell>
          <cell r="Q1">
            <v>44726</v>
          </cell>
          <cell r="R1">
            <v>44727</v>
          </cell>
          <cell r="S1">
            <v>44728</v>
          </cell>
          <cell r="T1">
            <v>44729</v>
          </cell>
          <cell r="U1">
            <v>44730</v>
          </cell>
          <cell r="V1">
            <v>44731</v>
          </cell>
          <cell r="W1">
            <v>44732</v>
          </cell>
          <cell r="X1">
            <v>44733</v>
          </cell>
          <cell r="Y1">
            <v>44734</v>
          </cell>
          <cell r="Z1">
            <v>44735</v>
          </cell>
          <cell r="AA1">
            <v>44736</v>
          </cell>
          <cell r="AB1">
            <v>44737</v>
          </cell>
          <cell r="AC1">
            <v>44738</v>
          </cell>
          <cell r="AD1">
            <v>44739</v>
          </cell>
          <cell r="AE1">
            <v>44740</v>
          </cell>
          <cell r="AF1">
            <v>44741</v>
          </cell>
          <cell r="AG1">
            <v>44742</v>
          </cell>
          <cell r="AH1" t="str">
            <v/>
          </cell>
        </row>
        <row r="2">
          <cell r="D2">
            <v>44713</v>
          </cell>
          <cell r="E2">
            <v>44714</v>
          </cell>
          <cell r="F2">
            <v>44715</v>
          </cell>
          <cell r="G2">
            <v>44716</v>
          </cell>
          <cell r="H2">
            <v>44717</v>
          </cell>
          <cell r="I2">
            <v>44718</v>
          </cell>
          <cell r="J2">
            <v>44719</v>
          </cell>
          <cell r="K2">
            <v>44720</v>
          </cell>
          <cell r="L2">
            <v>44721</v>
          </cell>
          <cell r="M2">
            <v>44722</v>
          </cell>
          <cell r="N2">
            <v>44723</v>
          </cell>
          <cell r="O2">
            <v>44724</v>
          </cell>
          <cell r="P2">
            <v>44725</v>
          </cell>
          <cell r="Q2">
            <v>44726</v>
          </cell>
          <cell r="R2">
            <v>44727</v>
          </cell>
          <cell r="S2">
            <v>44728</v>
          </cell>
          <cell r="T2">
            <v>44729</v>
          </cell>
          <cell r="U2">
            <v>44730</v>
          </cell>
          <cell r="V2">
            <v>44731</v>
          </cell>
          <cell r="W2">
            <v>44732</v>
          </cell>
          <cell r="X2">
            <v>44733</v>
          </cell>
          <cell r="Y2">
            <v>44734</v>
          </cell>
          <cell r="Z2">
            <v>44735</v>
          </cell>
          <cell r="AA2">
            <v>44736</v>
          </cell>
          <cell r="AB2">
            <v>44737</v>
          </cell>
          <cell r="AC2">
            <v>44738</v>
          </cell>
          <cell r="AD2">
            <v>44739</v>
          </cell>
          <cell r="AE2">
            <v>44740</v>
          </cell>
          <cell r="AF2">
            <v>44741</v>
          </cell>
          <cell r="AG2">
            <v>44742</v>
          </cell>
          <cell r="AH2" t="str">
            <v/>
          </cell>
        </row>
        <row r="3">
          <cell r="D3" t="str">
            <v>庵</v>
          </cell>
          <cell r="E3" t="str">
            <v>松木</v>
          </cell>
          <cell r="F3" t="str">
            <v>清水</v>
          </cell>
          <cell r="G3" t="str">
            <v>長田</v>
          </cell>
          <cell r="H3" t="str">
            <v>大橋</v>
          </cell>
          <cell r="I3" t="str">
            <v>佐藤恵</v>
          </cell>
          <cell r="J3" t="str">
            <v>南</v>
          </cell>
          <cell r="K3" t="str">
            <v>山本</v>
          </cell>
          <cell r="L3" t="str">
            <v>齊藤</v>
          </cell>
          <cell r="M3" t="str">
            <v>清水</v>
          </cell>
          <cell r="N3" t="str">
            <v>林</v>
          </cell>
          <cell r="O3" t="str">
            <v>澤野</v>
          </cell>
          <cell r="P3" t="str">
            <v>加藤</v>
          </cell>
          <cell r="Q3" t="str">
            <v>佐藤恵</v>
          </cell>
          <cell r="R3" t="str">
            <v>山田</v>
          </cell>
          <cell r="S3" t="str">
            <v>平田恵</v>
          </cell>
          <cell r="T3" t="str">
            <v>長田</v>
          </cell>
          <cell r="U3" t="str">
            <v>大橋</v>
          </cell>
          <cell r="V3" t="str">
            <v>佐藤恵</v>
          </cell>
          <cell r="W3" t="str">
            <v>清水</v>
          </cell>
          <cell r="X3" t="str">
            <v>南</v>
          </cell>
          <cell r="Y3" t="str">
            <v>澤野</v>
          </cell>
          <cell r="Z3" t="str">
            <v>庵</v>
          </cell>
          <cell r="AA3" t="str">
            <v>山本</v>
          </cell>
          <cell r="AB3" t="str">
            <v>山田</v>
          </cell>
          <cell r="AC3" t="str">
            <v>清水</v>
          </cell>
          <cell r="AD3" t="str">
            <v>大橋</v>
          </cell>
          <cell r="AE3" t="str">
            <v>長田</v>
          </cell>
          <cell r="AF3" t="str">
            <v>山下</v>
          </cell>
          <cell r="AG3" t="str">
            <v>平田恵</v>
          </cell>
          <cell r="AH3" t="str">
            <v/>
          </cell>
        </row>
        <row r="4">
          <cell r="D4" t="str">
            <v>薬司</v>
          </cell>
          <cell r="E4" t="str">
            <v>雨池</v>
          </cell>
          <cell r="F4" t="str">
            <v>佐藤穂</v>
          </cell>
          <cell r="G4" t="str">
            <v>諸田</v>
          </cell>
          <cell r="H4" t="str">
            <v>薬司</v>
          </cell>
          <cell r="I4" t="str">
            <v>樫田</v>
          </cell>
          <cell r="J4" t="str">
            <v>加藤</v>
          </cell>
          <cell r="K4" t="str">
            <v>田村</v>
          </cell>
          <cell r="L4" t="str">
            <v>松木</v>
          </cell>
          <cell r="M4" t="str">
            <v>庵</v>
          </cell>
          <cell r="N4" t="str">
            <v>佐藤恵</v>
          </cell>
          <cell r="O4" t="str">
            <v>西郡</v>
          </cell>
          <cell r="P4" t="str">
            <v>袋</v>
          </cell>
          <cell r="Q4" t="str">
            <v>諸田</v>
          </cell>
          <cell r="R4" t="str">
            <v>本田</v>
          </cell>
          <cell r="S4" t="str">
            <v>西郡</v>
          </cell>
          <cell r="T4" t="str">
            <v>薬司</v>
          </cell>
          <cell r="U4" t="str">
            <v>龍野</v>
          </cell>
          <cell r="V4" t="str">
            <v>佐藤穂</v>
          </cell>
          <cell r="W4" t="str">
            <v>福知</v>
          </cell>
          <cell r="X4" t="str">
            <v>加藤</v>
          </cell>
          <cell r="Y4" t="str">
            <v>松木</v>
          </cell>
          <cell r="Z4" t="str">
            <v>本田</v>
          </cell>
          <cell r="AA4" t="str">
            <v>田村</v>
          </cell>
          <cell r="AB4" t="str">
            <v>西郡</v>
          </cell>
          <cell r="AC4" t="str">
            <v>龍野</v>
          </cell>
          <cell r="AD4" t="str">
            <v>中村公</v>
          </cell>
          <cell r="AE4" t="str">
            <v>庵</v>
          </cell>
          <cell r="AF4" t="str">
            <v>田村</v>
          </cell>
          <cell r="AG4" t="str">
            <v>松木</v>
          </cell>
          <cell r="AH4" t="str">
            <v/>
          </cell>
        </row>
      </sheetData>
      <sheetData sheetId="9">
        <row r="1">
          <cell r="D1">
            <v>44713</v>
          </cell>
          <cell r="E1">
            <v>44714</v>
          </cell>
          <cell r="F1">
            <v>44715</v>
          </cell>
          <cell r="G1">
            <v>44716</v>
          </cell>
          <cell r="H1">
            <v>44717</v>
          </cell>
          <cell r="I1">
            <v>44718</v>
          </cell>
          <cell r="J1">
            <v>44719</v>
          </cell>
          <cell r="K1">
            <v>44720</v>
          </cell>
          <cell r="L1">
            <v>44721</v>
          </cell>
          <cell r="M1">
            <v>44722</v>
          </cell>
          <cell r="N1">
            <v>44723</v>
          </cell>
          <cell r="O1">
            <v>44724</v>
          </cell>
          <cell r="P1">
            <v>44725</v>
          </cell>
          <cell r="Q1">
            <v>44726</v>
          </cell>
          <cell r="R1">
            <v>44727</v>
          </cell>
          <cell r="S1">
            <v>44728</v>
          </cell>
          <cell r="T1">
            <v>44729</v>
          </cell>
          <cell r="U1">
            <v>44730</v>
          </cell>
          <cell r="V1">
            <v>44731</v>
          </cell>
          <cell r="W1">
            <v>44732</v>
          </cell>
          <cell r="X1">
            <v>44733</v>
          </cell>
          <cell r="Y1">
            <v>44734</v>
          </cell>
          <cell r="Z1">
            <v>44735</v>
          </cell>
          <cell r="AA1">
            <v>44736</v>
          </cell>
          <cell r="AB1">
            <v>44737</v>
          </cell>
          <cell r="AC1">
            <v>44738</v>
          </cell>
          <cell r="AD1">
            <v>44739</v>
          </cell>
          <cell r="AE1">
            <v>44740</v>
          </cell>
          <cell r="AF1">
            <v>44741</v>
          </cell>
          <cell r="AG1">
            <v>44742</v>
          </cell>
          <cell r="AH1" t="str">
            <v/>
          </cell>
        </row>
        <row r="2">
          <cell r="D2">
            <v>44713</v>
          </cell>
          <cell r="E2">
            <v>44714</v>
          </cell>
          <cell r="F2">
            <v>44715</v>
          </cell>
          <cell r="G2">
            <v>44716</v>
          </cell>
          <cell r="H2">
            <v>44717</v>
          </cell>
          <cell r="I2">
            <v>44718</v>
          </cell>
          <cell r="J2">
            <v>44719</v>
          </cell>
          <cell r="K2">
            <v>44720</v>
          </cell>
          <cell r="L2">
            <v>44721</v>
          </cell>
          <cell r="M2">
            <v>44722</v>
          </cell>
          <cell r="N2">
            <v>44723</v>
          </cell>
          <cell r="O2">
            <v>44724</v>
          </cell>
          <cell r="P2">
            <v>44725</v>
          </cell>
          <cell r="Q2">
            <v>44726</v>
          </cell>
          <cell r="R2">
            <v>44727</v>
          </cell>
          <cell r="S2">
            <v>44728</v>
          </cell>
          <cell r="T2">
            <v>44729</v>
          </cell>
          <cell r="U2">
            <v>44730</v>
          </cell>
          <cell r="V2">
            <v>44731</v>
          </cell>
          <cell r="W2">
            <v>44732</v>
          </cell>
          <cell r="X2">
            <v>44733</v>
          </cell>
          <cell r="Y2">
            <v>44734</v>
          </cell>
          <cell r="Z2">
            <v>44735</v>
          </cell>
          <cell r="AA2">
            <v>44736</v>
          </cell>
          <cell r="AB2">
            <v>44737</v>
          </cell>
          <cell r="AC2">
            <v>44738</v>
          </cell>
          <cell r="AD2">
            <v>44739</v>
          </cell>
          <cell r="AE2">
            <v>44740</v>
          </cell>
          <cell r="AF2">
            <v>44741</v>
          </cell>
          <cell r="AG2">
            <v>44742</v>
          </cell>
          <cell r="AH2" t="str">
            <v/>
          </cell>
        </row>
        <row r="3">
          <cell r="D3" t="str">
            <v>山村</v>
          </cell>
          <cell r="E3" t="str">
            <v>山田</v>
          </cell>
          <cell r="F3" t="str">
            <v>松木</v>
          </cell>
          <cell r="G3" t="str">
            <v>木田</v>
          </cell>
          <cell r="H3" t="str">
            <v>山村</v>
          </cell>
          <cell r="I3" t="str">
            <v>大橋</v>
          </cell>
          <cell r="J3" t="str">
            <v>佐藤恵</v>
          </cell>
          <cell r="K3" t="str">
            <v>庵</v>
          </cell>
          <cell r="L3" t="str">
            <v/>
          </cell>
          <cell r="M3" t="str">
            <v>澤野</v>
          </cell>
          <cell r="N3" t="str">
            <v>木田</v>
          </cell>
          <cell r="O3" t="str">
            <v>山村</v>
          </cell>
          <cell r="P3" t="str">
            <v>澤野</v>
          </cell>
          <cell r="Q3" t="str">
            <v>加藤</v>
          </cell>
          <cell r="R3" t="str">
            <v/>
          </cell>
          <cell r="S3" t="str">
            <v>山本</v>
          </cell>
          <cell r="T3" t="str">
            <v>佐藤恵</v>
          </cell>
          <cell r="U3" t="str">
            <v>木田</v>
          </cell>
          <cell r="V3" t="str">
            <v>山村</v>
          </cell>
          <cell r="W3" t="str">
            <v>佐藤恵</v>
          </cell>
          <cell r="X3" t="str">
            <v>清水</v>
          </cell>
          <cell r="Y3" t="str">
            <v>樫田</v>
          </cell>
          <cell r="Z3" t="str">
            <v>大橋</v>
          </cell>
          <cell r="AA3" t="str">
            <v>吉田</v>
          </cell>
          <cell r="AB3" t="str">
            <v>木田</v>
          </cell>
          <cell r="AC3" t="str">
            <v>山村</v>
          </cell>
          <cell r="AD3" t="str">
            <v>清水</v>
          </cell>
          <cell r="AE3" t="str">
            <v>大橋</v>
          </cell>
          <cell r="AF3" t="str">
            <v>長田</v>
          </cell>
          <cell r="AG3" t="str">
            <v>山田</v>
          </cell>
          <cell r="AH3" t="str">
            <v/>
          </cell>
        </row>
        <row r="4">
          <cell r="D4" t="str">
            <v>平田恵</v>
          </cell>
          <cell r="E4" t="str">
            <v>薬司</v>
          </cell>
          <cell r="F4" t="str">
            <v>雨池</v>
          </cell>
          <cell r="G4" t="str">
            <v/>
          </cell>
          <cell r="H4" t="str">
            <v>山下</v>
          </cell>
          <cell r="I4" t="str">
            <v>薬司</v>
          </cell>
          <cell r="J4" t="str">
            <v>樫田</v>
          </cell>
          <cell r="K4" t="str">
            <v>諸田</v>
          </cell>
          <cell r="L4" t="str">
            <v/>
          </cell>
          <cell r="M4" t="str">
            <v/>
          </cell>
          <cell r="N4" t="str">
            <v/>
          </cell>
          <cell r="O4" t="str">
            <v>山下</v>
          </cell>
          <cell r="P4" t="str">
            <v>西郡</v>
          </cell>
          <cell r="Q4" t="str">
            <v>袋</v>
          </cell>
          <cell r="R4" t="str">
            <v/>
          </cell>
          <cell r="S4" t="str">
            <v>林</v>
          </cell>
          <cell r="T4" t="str">
            <v/>
          </cell>
          <cell r="U4" t="str">
            <v/>
          </cell>
          <cell r="V4" t="str">
            <v>山下</v>
          </cell>
          <cell r="W4" t="str">
            <v>佐藤穂</v>
          </cell>
          <cell r="X4" t="str">
            <v>福知</v>
          </cell>
          <cell r="Y4" t="str">
            <v/>
          </cell>
          <cell r="Z4" t="str">
            <v>龍野</v>
          </cell>
          <cell r="AA4" t="str">
            <v/>
          </cell>
          <cell r="AB4" t="str">
            <v/>
          </cell>
          <cell r="AC4" t="str">
            <v>山下</v>
          </cell>
          <cell r="AD4" t="str">
            <v>龍野</v>
          </cell>
          <cell r="AE4" t="str">
            <v>中村公</v>
          </cell>
          <cell r="AF4" t="str">
            <v>西郡</v>
          </cell>
          <cell r="AG4" t="str">
            <v>林</v>
          </cell>
          <cell r="AH4" t="str">
            <v/>
          </cell>
        </row>
        <row r="5">
          <cell r="D5" t="str">
            <v>長田</v>
          </cell>
          <cell r="E5" t="str">
            <v/>
          </cell>
          <cell r="F5" t="str">
            <v/>
          </cell>
          <cell r="G5" t="str">
            <v/>
          </cell>
          <cell r="H5" t="str">
            <v>平田恵</v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>平田恵</v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>平田恵</v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>平田恵</v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>中井</v>
          </cell>
          <cell r="E6" t="str">
            <v/>
          </cell>
          <cell r="F6" t="str">
            <v/>
          </cell>
          <cell r="G6" t="str">
            <v/>
          </cell>
          <cell r="H6" t="str">
            <v>長田</v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>長田</v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>長田</v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>長田</v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>北</v>
          </cell>
          <cell r="E7" t="str">
            <v/>
          </cell>
          <cell r="F7" t="str">
            <v/>
          </cell>
          <cell r="G7" t="str">
            <v/>
          </cell>
          <cell r="H7" t="str">
            <v>中井</v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>中井</v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>中井</v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>中井</v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>中村映</v>
          </cell>
          <cell r="E8" t="str">
            <v/>
          </cell>
          <cell r="F8" t="str">
            <v/>
          </cell>
          <cell r="G8" t="str">
            <v/>
          </cell>
          <cell r="H8" t="str">
            <v>北</v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>北</v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>北</v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>北</v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>平田真</v>
          </cell>
          <cell r="E9" t="str">
            <v/>
          </cell>
          <cell r="F9" t="str">
            <v/>
          </cell>
          <cell r="G9" t="str">
            <v/>
          </cell>
          <cell r="H9" t="str">
            <v>中村映</v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>中村映</v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>中村映</v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>中村映</v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>大橋</v>
          </cell>
          <cell r="E10" t="str">
            <v/>
          </cell>
          <cell r="F10" t="str">
            <v/>
          </cell>
          <cell r="G10" t="str">
            <v/>
          </cell>
          <cell r="H10" t="str">
            <v>平田真</v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>平田真</v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>平田真</v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>平田真</v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44743</v>
          </cell>
          <cell r="E1">
            <v>44744</v>
          </cell>
          <cell r="F1">
            <v>44745</v>
          </cell>
          <cell r="G1">
            <v>44746</v>
          </cell>
          <cell r="H1">
            <v>44747</v>
          </cell>
          <cell r="I1">
            <v>44748</v>
          </cell>
          <cell r="J1">
            <v>44749</v>
          </cell>
          <cell r="K1">
            <v>44750</v>
          </cell>
          <cell r="L1">
            <v>44751</v>
          </cell>
          <cell r="M1">
            <v>44752</v>
          </cell>
          <cell r="N1">
            <v>44753</v>
          </cell>
          <cell r="O1">
            <v>44754</v>
          </cell>
          <cell r="P1">
            <v>44755</v>
          </cell>
          <cell r="Q1">
            <v>44756</v>
          </cell>
          <cell r="R1">
            <v>44757</v>
          </cell>
          <cell r="S1">
            <v>44758</v>
          </cell>
          <cell r="T1">
            <v>44759</v>
          </cell>
          <cell r="U1">
            <v>44760</v>
          </cell>
          <cell r="V1">
            <v>44761</v>
          </cell>
          <cell r="W1">
            <v>44762</v>
          </cell>
          <cell r="X1">
            <v>44763</v>
          </cell>
          <cell r="Y1">
            <v>44764</v>
          </cell>
          <cell r="Z1">
            <v>44765</v>
          </cell>
          <cell r="AA1">
            <v>44766</v>
          </cell>
          <cell r="AB1">
            <v>44767</v>
          </cell>
          <cell r="AC1">
            <v>44768</v>
          </cell>
          <cell r="AD1">
            <v>44769</v>
          </cell>
          <cell r="AE1">
            <v>44770</v>
          </cell>
          <cell r="AF1">
            <v>44771</v>
          </cell>
          <cell r="AG1">
            <v>44772</v>
          </cell>
          <cell r="AH1">
            <v>44773</v>
          </cell>
        </row>
        <row r="2">
          <cell r="D2">
            <v>44743</v>
          </cell>
          <cell r="E2">
            <v>44744</v>
          </cell>
          <cell r="F2">
            <v>44745</v>
          </cell>
          <cell r="G2">
            <v>44746</v>
          </cell>
          <cell r="H2">
            <v>44747</v>
          </cell>
          <cell r="I2">
            <v>44748</v>
          </cell>
          <cell r="J2">
            <v>44749</v>
          </cell>
          <cell r="K2">
            <v>44750</v>
          </cell>
          <cell r="L2">
            <v>44751</v>
          </cell>
          <cell r="M2">
            <v>44752</v>
          </cell>
          <cell r="N2">
            <v>44753</v>
          </cell>
          <cell r="O2">
            <v>44754</v>
          </cell>
          <cell r="P2">
            <v>44755</v>
          </cell>
          <cell r="Q2">
            <v>44756</v>
          </cell>
          <cell r="R2">
            <v>44757</v>
          </cell>
          <cell r="S2">
            <v>44758</v>
          </cell>
          <cell r="T2">
            <v>44759</v>
          </cell>
          <cell r="U2">
            <v>44760</v>
          </cell>
          <cell r="V2">
            <v>44761</v>
          </cell>
          <cell r="W2">
            <v>44762</v>
          </cell>
          <cell r="X2">
            <v>44763</v>
          </cell>
          <cell r="Y2">
            <v>44764</v>
          </cell>
          <cell r="Z2">
            <v>44765</v>
          </cell>
          <cell r="AA2">
            <v>44766</v>
          </cell>
          <cell r="AB2">
            <v>44767</v>
          </cell>
          <cell r="AC2">
            <v>44768</v>
          </cell>
          <cell r="AD2">
            <v>44769</v>
          </cell>
          <cell r="AE2">
            <v>44770</v>
          </cell>
          <cell r="AF2">
            <v>44771</v>
          </cell>
          <cell r="AG2">
            <v>44772</v>
          </cell>
          <cell r="AH2">
            <v>44773</v>
          </cell>
        </row>
        <row r="3">
          <cell r="D3" t="str">
            <v>大橋</v>
          </cell>
          <cell r="E3" t="str">
            <v>長田</v>
          </cell>
          <cell r="F3" t="str">
            <v>田村</v>
          </cell>
          <cell r="G3" t="str">
            <v>澤野</v>
          </cell>
          <cell r="H3" t="str">
            <v>清水</v>
          </cell>
          <cell r="I3" t="str">
            <v>南</v>
          </cell>
          <cell r="J3" t="str">
            <v>平田恵</v>
          </cell>
          <cell r="K3" t="str">
            <v>山本</v>
          </cell>
          <cell r="L3" t="str">
            <v>佐藤恵</v>
          </cell>
          <cell r="M3" t="str">
            <v>大橋</v>
          </cell>
          <cell r="N3" t="str">
            <v>西郡</v>
          </cell>
          <cell r="O3" t="str">
            <v>佐藤穂</v>
          </cell>
          <cell r="P3" t="str">
            <v>加藤</v>
          </cell>
          <cell r="Q3" t="str">
            <v>南</v>
          </cell>
          <cell r="R3" t="str">
            <v>平田恵</v>
          </cell>
          <cell r="S3" t="str">
            <v>清水</v>
          </cell>
          <cell r="T3" t="str">
            <v>佐藤恵</v>
          </cell>
          <cell r="U3" t="str">
            <v>長田</v>
          </cell>
          <cell r="V3" t="str">
            <v>大橋</v>
          </cell>
          <cell r="W3" t="str">
            <v>澤野</v>
          </cell>
          <cell r="X3" t="str">
            <v>加藤</v>
          </cell>
          <cell r="Y3" t="str">
            <v>南</v>
          </cell>
          <cell r="Z3" t="str">
            <v>林</v>
          </cell>
          <cell r="AA3" t="str">
            <v>大橋</v>
          </cell>
          <cell r="AB3" t="str">
            <v>佐藤恵</v>
          </cell>
          <cell r="AC3" t="str">
            <v>長田</v>
          </cell>
          <cell r="AD3" t="str">
            <v>山下</v>
          </cell>
          <cell r="AE3" t="str">
            <v>山田</v>
          </cell>
          <cell r="AF3" t="str">
            <v>庵</v>
          </cell>
          <cell r="AG3" t="str">
            <v>大橋</v>
          </cell>
          <cell r="AH3" t="str">
            <v>田村</v>
          </cell>
        </row>
        <row r="4">
          <cell r="D4" t="str">
            <v>齊藤</v>
          </cell>
          <cell r="E4" t="str">
            <v>龍野</v>
          </cell>
          <cell r="F4" t="str">
            <v>薬司</v>
          </cell>
          <cell r="G4" t="str">
            <v>加藤</v>
          </cell>
          <cell r="H4" t="str">
            <v>山田</v>
          </cell>
          <cell r="I4" t="str">
            <v>西郡</v>
          </cell>
          <cell r="J4" t="str">
            <v>松木</v>
          </cell>
          <cell r="K4" t="str">
            <v>庵</v>
          </cell>
          <cell r="L4" t="str">
            <v>本田</v>
          </cell>
          <cell r="M4" t="str">
            <v>樫田</v>
          </cell>
          <cell r="N4" t="str">
            <v>雨池</v>
          </cell>
          <cell r="O4" t="str">
            <v>松木</v>
          </cell>
          <cell r="P4" t="str">
            <v>諸田</v>
          </cell>
          <cell r="Q4" t="str">
            <v>齊藤</v>
          </cell>
          <cell r="R4" t="str">
            <v>庵</v>
          </cell>
          <cell r="S4" t="str">
            <v>吉田</v>
          </cell>
          <cell r="T4" t="str">
            <v>中村公</v>
          </cell>
          <cell r="U4" t="str">
            <v>松木</v>
          </cell>
          <cell r="V4" t="str">
            <v>山本</v>
          </cell>
          <cell r="W4" t="str">
            <v>佐藤穂</v>
          </cell>
          <cell r="X4" t="str">
            <v>本田</v>
          </cell>
          <cell r="Y4" t="str">
            <v>西郡</v>
          </cell>
          <cell r="Z4" t="str">
            <v>田村</v>
          </cell>
          <cell r="AA4" t="str">
            <v>福知</v>
          </cell>
          <cell r="AB4" t="str">
            <v>諸田</v>
          </cell>
          <cell r="AC4" t="str">
            <v>龍野</v>
          </cell>
          <cell r="AD4" t="str">
            <v>加藤</v>
          </cell>
          <cell r="AE4" t="str">
            <v>雨池</v>
          </cell>
          <cell r="AF4" t="str">
            <v>西郡</v>
          </cell>
          <cell r="AG4" t="str">
            <v>齊藤</v>
          </cell>
          <cell r="AH4" t="str">
            <v>袋</v>
          </cell>
        </row>
      </sheetData>
      <sheetData sheetId="9">
        <row r="1">
          <cell r="D1">
            <v>44743</v>
          </cell>
          <cell r="E1">
            <v>44744</v>
          </cell>
          <cell r="F1">
            <v>44745</v>
          </cell>
          <cell r="G1">
            <v>44746</v>
          </cell>
          <cell r="H1">
            <v>44747</v>
          </cell>
          <cell r="I1">
            <v>44748</v>
          </cell>
          <cell r="J1">
            <v>44749</v>
          </cell>
          <cell r="K1">
            <v>44750</v>
          </cell>
          <cell r="L1">
            <v>44751</v>
          </cell>
          <cell r="M1">
            <v>44752</v>
          </cell>
          <cell r="N1">
            <v>44753</v>
          </cell>
          <cell r="O1">
            <v>44754</v>
          </cell>
          <cell r="P1">
            <v>44755</v>
          </cell>
          <cell r="Q1">
            <v>44756</v>
          </cell>
          <cell r="R1">
            <v>44757</v>
          </cell>
          <cell r="S1">
            <v>44758</v>
          </cell>
          <cell r="T1">
            <v>44759</v>
          </cell>
          <cell r="U1">
            <v>44760</v>
          </cell>
          <cell r="V1">
            <v>44761</v>
          </cell>
          <cell r="W1">
            <v>44762</v>
          </cell>
          <cell r="X1">
            <v>44763</v>
          </cell>
          <cell r="Y1">
            <v>44764</v>
          </cell>
          <cell r="Z1">
            <v>44765</v>
          </cell>
          <cell r="AA1">
            <v>44766</v>
          </cell>
          <cell r="AB1">
            <v>44767</v>
          </cell>
          <cell r="AC1">
            <v>44768</v>
          </cell>
          <cell r="AD1">
            <v>44769</v>
          </cell>
          <cell r="AE1">
            <v>44770</v>
          </cell>
          <cell r="AF1">
            <v>44771</v>
          </cell>
          <cell r="AG1">
            <v>44772</v>
          </cell>
          <cell r="AH1">
            <v>44773</v>
          </cell>
        </row>
        <row r="2">
          <cell r="D2">
            <v>44743</v>
          </cell>
          <cell r="E2">
            <v>44744</v>
          </cell>
          <cell r="F2">
            <v>44745</v>
          </cell>
          <cell r="G2">
            <v>44746</v>
          </cell>
          <cell r="H2">
            <v>44747</v>
          </cell>
          <cell r="I2">
            <v>44748</v>
          </cell>
          <cell r="J2">
            <v>44749</v>
          </cell>
          <cell r="K2">
            <v>44750</v>
          </cell>
          <cell r="L2">
            <v>44751</v>
          </cell>
          <cell r="M2">
            <v>44752</v>
          </cell>
          <cell r="N2">
            <v>44753</v>
          </cell>
          <cell r="O2">
            <v>44754</v>
          </cell>
          <cell r="P2">
            <v>44755</v>
          </cell>
          <cell r="Q2">
            <v>44756</v>
          </cell>
          <cell r="R2">
            <v>44757</v>
          </cell>
          <cell r="S2">
            <v>44758</v>
          </cell>
          <cell r="T2">
            <v>44759</v>
          </cell>
          <cell r="U2">
            <v>44760</v>
          </cell>
          <cell r="V2">
            <v>44761</v>
          </cell>
          <cell r="W2">
            <v>44762</v>
          </cell>
          <cell r="X2">
            <v>44763</v>
          </cell>
          <cell r="Y2">
            <v>44764</v>
          </cell>
          <cell r="Z2">
            <v>44765</v>
          </cell>
          <cell r="AA2">
            <v>44766</v>
          </cell>
          <cell r="AB2">
            <v>44767</v>
          </cell>
          <cell r="AC2">
            <v>44768</v>
          </cell>
          <cell r="AD2">
            <v>44769</v>
          </cell>
          <cell r="AE2">
            <v>44770</v>
          </cell>
          <cell r="AF2">
            <v>44771</v>
          </cell>
          <cell r="AG2">
            <v>44772</v>
          </cell>
          <cell r="AH2">
            <v>44773</v>
          </cell>
        </row>
        <row r="3">
          <cell r="D3" t="str">
            <v/>
          </cell>
          <cell r="E3" t="str">
            <v>木田</v>
          </cell>
          <cell r="F3" t="str">
            <v>山村</v>
          </cell>
          <cell r="G3" t="str">
            <v>田村</v>
          </cell>
          <cell r="H3" t="str">
            <v>澤野</v>
          </cell>
          <cell r="I3" t="str">
            <v>清水</v>
          </cell>
          <cell r="J3" t="str">
            <v>吉田</v>
          </cell>
          <cell r="K3" t="str">
            <v/>
          </cell>
          <cell r="L3" t="str">
            <v>木田</v>
          </cell>
          <cell r="M3" t="str">
            <v>山村</v>
          </cell>
          <cell r="N3" t="str">
            <v>大橋</v>
          </cell>
          <cell r="O3" t="str">
            <v>西郡</v>
          </cell>
          <cell r="P3" t="str">
            <v>長田</v>
          </cell>
          <cell r="Q3" t="str">
            <v>林</v>
          </cell>
          <cell r="R3" t="str">
            <v/>
          </cell>
          <cell r="S3" t="str">
            <v>木田</v>
          </cell>
          <cell r="T3" t="str">
            <v>山村</v>
          </cell>
          <cell r="U3" t="str">
            <v>山村</v>
          </cell>
          <cell r="V3" t="str">
            <v>長田</v>
          </cell>
          <cell r="W3" t="str">
            <v>大橋</v>
          </cell>
          <cell r="X3" t="str">
            <v>吉田</v>
          </cell>
          <cell r="Y3" t="str">
            <v>佐藤恵</v>
          </cell>
          <cell r="Z3" t="str">
            <v>木田</v>
          </cell>
          <cell r="AA3" t="str">
            <v>山村</v>
          </cell>
          <cell r="AB3" t="str">
            <v>大橋</v>
          </cell>
          <cell r="AC3" t="str">
            <v>大橋</v>
          </cell>
          <cell r="AD3" t="str">
            <v>長田</v>
          </cell>
          <cell r="AE3" t="str">
            <v>林</v>
          </cell>
          <cell r="AF3" t="str">
            <v>田村</v>
          </cell>
          <cell r="AG3" t="str">
            <v>木田</v>
          </cell>
          <cell r="AH3" t="str">
            <v>山村</v>
          </cell>
        </row>
        <row r="4">
          <cell r="D4" t="str">
            <v/>
          </cell>
          <cell r="E4" t="str">
            <v/>
          </cell>
          <cell r="F4" t="str">
            <v>山下</v>
          </cell>
          <cell r="G4" t="str">
            <v>薬司</v>
          </cell>
          <cell r="H4" t="str">
            <v>加藤</v>
          </cell>
          <cell r="I4" t="str">
            <v/>
          </cell>
          <cell r="J4" t="str">
            <v>龍野</v>
          </cell>
          <cell r="K4" t="str">
            <v/>
          </cell>
          <cell r="L4" t="str">
            <v/>
          </cell>
          <cell r="M4" t="str">
            <v>山下</v>
          </cell>
          <cell r="N4" t="str">
            <v>樫田</v>
          </cell>
          <cell r="O4" t="str">
            <v>雨池</v>
          </cell>
          <cell r="P4" t="str">
            <v>本田</v>
          </cell>
          <cell r="Q4" t="str">
            <v>佐藤恵</v>
          </cell>
          <cell r="R4" t="str">
            <v/>
          </cell>
          <cell r="S4" t="str">
            <v/>
          </cell>
          <cell r="T4" t="str">
            <v>山下</v>
          </cell>
          <cell r="U4" t="str">
            <v>山下</v>
          </cell>
          <cell r="V4" t="str">
            <v>松木</v>
          </cell>
          <cell r="W4" t="str">
            <v>山本</v>
          </cell>
          <cell r="X4" t="str">
            <v>福知</v>
          </cell>
          <cell r="Y4" t="str">
            <v>中村公</v>
          </cell>
          <cell r="Z4" t="str">
            <v/>
          </cell>
          <cell r="AA4" t="str">
            <v>山下</v>
          </cell>
          <cell r="AB4" t="str">
            <v>福知</v>
          </cell>
          <cell r="AC4" t="str">
            <v>佐藤恵</v>
          </cell>
          <cell r="AD4" t="str">
            <v>齊藤</v>
          </cell>
          <cell r="AE4" t="str">
            <v>松木</v>
          </cell>
          <cell r="AF4" t="str">
            <v>雨池</v>
          </cell>
          <cell r="AG4" t="str">
            <v/>
          </cell>
          <cell r="AH4" t="str">
            <v>山下</v>
          </cell>
        </row>
        <row r="5">
          <cell r="D5" t="str">
            <v/>
          </cell>
          <cell r="E5" t="str">
            <v/>
          </cell>
          <cell r="F5" t="str">
            <v>平田恵</v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>平田恵</v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>平田恵</v>
          </cell>
          <cell r="U5" t="str">
            <v>平田恵</v>
          </cell>
          <cell r="V5" t="str">
            <v>樫田</v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>平田恵</v>
          </cell>
          <cell r="AB5" t="str">
            <v/>
          </cell>
          <cell r="AC5" t="str">
            <v>諸田</v>
          </cell>
          <cell r="AD5" t="str">
            <v/>
          </cell>
          <cell r="AE5" t="str">
            <v>中村公</v>
          </cell>
          <cell r="AF5" t="str">
            <v/>
          </cell>
          <cell r="AG5" t="str">
            <v/>
          </cell>
          <cell r="AH5" t="str">
            <v>平田恵</v>
          </cell>
        </row>
        <row r="6">
          <cell r="D6" t="str">
            <v/>
          </cell>
          <cell r="E6" t="str">
            <v/>
          </cell>
          <cell r="F6" t="str">
            <v>長田</v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>長田</v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>中井</v>
          </cell>
          <cell r="U6" t="str">
            <v>中井</v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>長田</v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>長田</v>
          </cell>
        </row>
        <row r="7">
          <cell r="D7" t="str">
            <v/>
          </cell>
          <cell r="E7" t="str">
            <v/>
          </cell>
          <cell r="F7" t="str">
            <v>中井</v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>中井</v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>北</v>
          </cell>
          <cell r="U7" t="str">
            <v>北</v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>中井</v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>中井</v>
          </cell>
        </row>
        <row r="8">
          <cell r="D8" t="str">
            <v/>
          </cell>
          <cell r="E8" t="str">
            <v/>
          </cell>
          <cell r="F8" t="str">
            <v>北</v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>北</v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>中村映</v>
          </cell>
          <cell r="U8" t="str">
            <v>中村映</v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>北</v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>北</v>
          </cell>
        </row>
        <row r="9">
          <cell r="D9" t="str">
            <v/>
          </cell>
          <cell r="E9" t="str">
            <v/>
          </cell>
          <cell r="F9" t="str">
            <v>中村映</v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>中村映</v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>平田真</v>
          </cell>
          <cell r="U9" t="str">
            <v>平田真</v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>中村映</v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>中村映</v>
          </cell>
        </row>
        <row r="10">
          <cell r="D10" t="str">
            <v/>
          </cell>
          <cell r="E10" t="str">
            <v/>
          </cell>
          <cell r="F10" t="str">
            <v>平田真</v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>平田真</v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>大橋</v>
          </cell>
          <cell r="U10" t="str">
            <v>南</v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>平田真</v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>平田真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44774</v>
          </cell>
          <cell r="E1">
            <v>44775</v>
          </cell>
          <cell r="F1">
            <v>44776</v>
          </cell>
          <cell r="G1">
            <v>44777</v>
          </cell>
          <cell r="H1">
            <v>44778</v>
          </cell>
          <cell r="I1">
            <v>44779</v>
          </cell>
          <cell r="J1">
            <v>44780</v>
          </cell>
          <cell r="K1">
            <v>44781</v>
          </cell>
          <cell r="L1">
            <v>44782</v>
          </cell>
          <cell r="M1">
            <v>44783</v>
          </cell>
          <cell r="N1">
            <v>44784</v>
          </cell>
          <cell r="O1">
            <v>44785</v>
          </cell>
          <cell r="P1">
            <v>44786</v>
          </cell>
          <cell r="Q1">
            <v>44787</v>
          </cell>
          <cell r="R1">
            <v>44788</v>
          </cell>
          <cell r="S1">
            <v>44789</v>
          </cell>
          <cell r="T1">
            <v>44790</v>
          </cell>
          <cell r="U1">
            <v>44791</v>
          </cell>
          <cell r="V1">
            <v>44792</v>
          </cell>
          <cell r="W1">
            <v>44793</v>
          </cell>
          <cell r="X1">
            <v>44794</v>
          </cell>
          <cell r="Y1">
            <v>44795</v>
          </cell>
          <cell r="Z1">
            <v>44796</v>
          </cell>
          <cell r="AA1">
            <v>44797</v>
          </cell>
          <cell r="AB1">
            <v>44798</v>
          </cell>
          <cell r="AC1">
            <v>44799</v>
          </cell>
          <cell r="AD1">
            <v>44800</v>
          </cell>
          <cell r="AE1">
            <v>44801</v>
          </cell>
          <cell r="AF1">
            <v>44802</v>
          </cell>
          <cell r="AG1">
            <v>44803</v>
          </cell>
          <cell r="AH1">
            <v>44804</v>
          </cell>
        </row>
        <row r="2">
          <cell r="D2">
            <v>44774</v>
          </cell>
          <cell r="E2">
            <v>44775</v>
          </cell>
          <cell r="F2">
            <v>44776</v>
          </cell>
          <cell r="G2">
            <v>44777</v>
          </cell>
          <cell r="H2">
            <v>44778</v>
          </cell>
          <cell r="I2">
            <v>44779</v>
          </cell>
          <cell r="J2">
            <v>44780</v>
          </cell>
          <cell r="K2">
            <v>44781</v>
          </cell>
          <cell r="L2">
            <v>44782</v>
          </cell>
          <cell r="M2">
            <v>44783</v>
          </cell>
          <cell r="N2">
            <v>44784</v>
          </cell>
          <cell r="O2">
            <v>44785</v>
          </cell>
          <cell r="P2">
            <v>44786</v>
          </cell>
          <cell r="Q2">
            <v>44787</v>
          </cell>
          <cell r="R2">
            <v>44788</v>
          </cell>
          <cell r="S2">
            <v>44789</v>
          </cell>
          <cell r="T2">
            <v>44790</v>
          </cell>
          <cell r="U2">
            <v>44791</v>
          </cell>
          <cell r="V2">
            <v>44792</v>
          </cell>
          <cell r="W2">
            <v>44793</v>
          </cell>
          <cell r="X2">
            <v>44794</v>
          </cell>
          <cell r="Y2">
            <v>44795</v>
          </cell>
          <cell r="Z2">
            <v>44796</v>
          </cell>
          <cell r="AA2">
            <v>44797</v>
          </cell>
          <cell r="AB2">
            <v>44798</v>
          </cell>
          <cell r="AC2">
            <v>44799</v>
          </cell>
          <cell r="AD2">
            <v>44800</v>
          </cell>
          <cell r="AE2">
            <v>44801</v>
          </cell>
          <cell r="AF2">
            <v>44802</v>
          </cell>
          <cell r="AG2">
            <v>44803</v>
          </cell>
          <cell r="AH2">
            <v>44804</v>
          </cell>
        </row>
        <row r="3">
          <cell r="D3" t="str">
            <v>清水</v>
          </cell>
          <cell r="E3" t="str">
            <v>山本</v>
          </cell>
          <cell r="F3" t="str">
            <v>加藤</v>
          </cell>
          <cell r="G3" t="str">
            <v>長田</v>
          </cell>
          <cell r="H3" t="str">
            <v>山田</v>
          </cell>
          <cell r="I3" t="str">
            <v>南</v>
          </cell>
          <cell r="J3" t="str">
            <v>大橋</v>
          </cell>
          <cell r="K3" t="str">
            <v>澤野</v>
          </cell>
          <cell r="L3" t="str">
            <v>南</v>
          </cell>
          <cell r="M3" t="str">
            <v>山下</v>
          </cell>
          <cell r="N3" t="str">
            <v>加藤</v>
          </cell>
          <cell r="O3" t="str">
            <v>本田</v>
          </cell>
          <cell r="P3" t="str">
            <v>長田</v>
          </cell>
          <cell r="Q3" t="str">
            <v>平田恵</v>
          </cell>
          <cell r="R3" t="str">
            <v>佐藤恵</v>
          </cell>
          <cell r="S3" t="str">
            <v>加藤</v>
          </cell>
          <cell r="T3" t="str">
            <v>松木</v>
          </cell>
          <cell r="U3" t="str">
            <v>清水</v>
          </cell>
          <cell r="V3" t="str">
            <v>庵</v>
          </cell>
          <cell r="W3" t="str">
            <v>林</v>
          </cell>
          <cell r="X3" t="str">
            <v>大橋</v>
          </cell>
          <cell r="Y3" t="str">
            <v>山本</v>
          </cell>
          <cell r="Z3" t="str">
            <v>諸田</v>
          </cell>
          <cell r="AA3" t="str">
            <v>山下</v>
          </cell>
          <cell r="AB3" t="str">
            <v>薬司</v>
          </cell>
          <cell r="AC3" t="str">
            <v>長田</v>
          </cell>
          <cell r="AD3" t="str">
            <v>大橋</v>
          </cell>
          <cell r="AE3" t="str">
            <v>田村</v>
          </cell>
          <cell r="AF3" t="str">
            <v>清水</v>
          </cell>
          <cell r="AG3" t="str">
            <v>薬司</v>
          </cell>
          <cell r="AH3" t="str">
            <v>平田恵</v>
          </cell>
        </row>
        <row r="4">
          <cell r="D4" t="str">
            <v>薬司</v>
          </cell>
          <cell r="E4" t="str">
            <v>佐藤恵</v>
          </cell>
          <cell r="F4" t="str">
            <v>龍野</v>
          </cell>
          <cell r="G4" t="str">
            <v>中村公</v>
          </cell>
          <cell r="H4" t="str">
            <v>松木</v>
          </cell>
          <cell r="I4" t="str">
            <v>西郡</v>
          </cell>
          <cell r="J4" t="str">
            <v>齊藤</v>
          </cell>
          <cell r="K4" t="str">
            <v>田村</v>
          </cell>
          <cell r="L4" t="str">
            <v>清水</v>
          </cell>
          <cell r="M4" t="str">
            <v>佐藤恵</v>
          </cell>
          <cell r="N4" t="str">
            <v>龍野</v>
          </cell>
          <cell r="O4" t="str">
            <v>松木</v>
          </cell>
          <cell r="P4" t="str">
            <v>諸田</v>
          </cell>
          <cell r="Q4" t="str">
            <v>西郡</v>
          </cell>
          <cell r="R4" t="str">
            <v>佐藤穂</v>
          </cell>
          <cell r="S4" t="str">
            <v>薬司</v>
          </cell>
          <cell r="T4" t="str">
            <v>樫田</v>
          </cell>
          <cell r="U4" t="str">
            <v>福知</v>
          </cell>
          <cell r="V4" t="str">
            <v>西郡</v>
          </cell>
          <cell r="W4" t="str">
            <v>本田</v>
          </cell>
          <cell r="X4" t="str">
            <v>澤野</v>
          </cell>
          <cell r="Y4" t="str">
            <v>田村</v>
          </cell>
          <cell r="Z4" t="str">
            <v>雨池</v>
          </cell>
          <cell r="AA4" t="str">
            <v>佐藤恵</v>
          </cell>
          <cell r="AB4" t="str">
            <v>樫田</v>
          </cell>
          <cell r="AC4" t="str">
            <v>袋</v>
          </cell>
          <cell r="AD4" t="str">
            <v>吉田</v>
          </cell>
          <cell r="AE4" t="str">
            <v>佐藤穂</v>
          </cell>
          <cell r="AF4" t="str">
            <v>庵</v>
          </cell>
          <cell r="AG4" t="str">
            <v>西郡</v>
          </cell>
          <cell r="AH4" t="str">
            <v>大橋</v>
          </cell>
        </row>
      </sheetData>
      <sheetData sheetId="9">
        <row r="1">
          <cell r="D1">
            <v>44774</v>
          </cell>
          <cell r="E1">
            <v>44775</v>
          </cell>
          <cell r="F1">
            <v>44776</v>
          </cell>
          <cell r="G1">
            <v>44777</v>
          </cell>
          <cell r="H1">
            <v>44778</v>
          </cell>
          <cell r="I1">
            <v>44779</v>
          </cell>
          <cell r="J1">
            <v>44780</v>
          </cell>
          <cell r="K1">
            <v>44781</v>
          </cell>
          <cell r="L1">
            <v>44782</v>
          </cell>
          <cell r="M1">
            <v>44783</v>
          </cell>
          <cell r="N1">
            <v>44784</v>
          </cell>
          <cell r="O1">
            <v>44785</v>
          </cell>
          <cell r="P1">
            <v>44786</v>
          </cell>
          <cell r="Q1">
            <v>44787</v>
          </cell>
          <cell r="R1">
            <v>44788</v>
          </cell>
          <cell r="S1">
            <v>44789</v>
          </cell>
          <cell r="T1">
            <v>44790</v>
          </cell>
          <cell r="U1">
            <v>44791</v>
          </cell>
          <cell r="V1">
            <v>44792</v>
          </cell>
          <cell r="W1">
            <v>44793</v>
          </cell>
          <cell r="X1">
            <v>44794</v>
          </cell>
          <cell r="Y1">
            <v>44795</v>
          </cell>
          <cell r="Z1">
            <v>44796</v>
          </cell>
          <cell r="AA1">
            <v>44797</v>
          </cell>
          <cell r="AB1">
            <v>44798</v>
          </cell>
          <cell r="AC1">
            <v>44799</v>
          </cell>
          <cell r="AD1">
            <v>44800</v>
          </cell>
          <cell r="AE1">
            <v>44801</v>
          </cell>
          <cell r="AF1">
            <v>44802</v>
          </cell>
          <cell r="AG1">
            <v>44803</v>
          </cell>
          <cell r="AH1">
            <v>44804</v>
          </cell>
        </row>
        <row r="2">
          <cell r="D2">
            <v>44774</v>
          </cell>
          <cell r="E2">
            <v>44775</v>
          </cell>
          <cell r="F2">
            <v>44776</v>
          </cell>
          <cell r="G2">
            <v>44777</v>
          </cell>
          <cell r="H2">
            <v>44778</v>
          </cell>
          <cell r="I2">
            <v>44779</v>
          </cell>
          <cell r="J2">
            <v>44780</v>
          </cell>
          <cell r="K2">
            <v>44781</v>
          </cell>
          <cell r="L2">
            <v>44782</v>
          </cell>
          <cell r="M2">
            <v>44783</v>
          </cell>
          <cell r="N2">
            <v>44784</v>
          </cell>
          <cell r="O2">
            <v>44785</v>
          </cell>
          <cell r="P2">
            <v>44786</v>
          </cell>
          <cell r="Q2">
            <v>44787</v>
          </cell>
          <cell r="R2">
            <v>44788</v>
          </cell>
          <cell r="S2">
            <v>44789</v>
          </cell>
          <cell r="T2">
            <v>44790</v>
          </cell>
          <cell r="U2">
            <v>44791</v>
          </cell>
          <cell r="V2">
            <v>44792</v>
          </cell>
          <cell r="W2">
            <v>44793</v>
          </cell>
          <cell r="X2">
            <v>44794</v>
          </cell>
          <cell r="Y2">
            <v>44795</v>
          </cell>
          <cell r="Z2">
            <v>44796</v>
          </cell>
          <cell r="AA2">
            <v>44797</v>
          </cell>
          <cell r="AB2">
            <v>44798</v>
          </cell>
          <cell r="AC2">
            <v>44799</v>
          </cell>
          <cell r="AD2">
            <v>44800</v>
          </cell>
          <cell r="AE2">
            <v>44801</v>
          </cell>
          <cell r="AF2">
            <v>44802</v>
          </cell>
          <cell r="AG2">
            <v>44803</v>
          </cell>
          <cell r="AH2">
            <v>44804</v>
          </cell>
        </row>
        <row r="3">
          <cell r="D3" t="str">
            <v>田村</v>
          </cell>
          <cell r="E3" t="str">
            <v>清水</v>
          </cell>
          <cell r="F3" t="str">
            <v>西郡</v>
          </cell>
          <cell r="G3" t="str">
            <v>南</v>
          </cell>
          <cell r="H3" t="str">
            <v>長田</v>
          </cell>
          <cell r="I3" t="str">
            <v>木田</v>
          </cell>
          <cell r="J3" t="str">
            <v>山村</v>
          </cell>
          <cell r="K3" t="str">
            <v>大橋</v>
          </cell>
          <cell r="L3" t="str">
            <v>澤野</v>
          </cell>
          <cell r="M3" t="str">
            <v>吉田</v>
          </cell>
          <cell r="N3" t="str">
            <v>山村</v>
          </cell>
          <cell r="O3" t="str">
            <v>加藤</v>
          </cell>
          <cell r="P3" t="str">
            <v>木田</v>
          </cell>
          <cell r="Q3" t="str">
            <v>山村</v>
          </cell>
          <cell r="R3" t="str">
            <v>山村</v>
          </cell>
          <cell r="S3" t="str">
            <v>佐藤穂</v>
          </cell>
          <cell r="T3" t="str">
            <v>加藤</v>
          </cell>
          <cell r="U3" t="str">
            <v>平田恵</v>
          </cell>
          <cell r="V3" t="str">
            <v>佐藤恵</v>
          </cell>
          <cell r="W3" t="str">
            <v>木田</v>
          </cell>
          <cell r="X3" t="str">
            <v>山村</v>
          </cell>
          <cell r="Y3" t="str">
            <v>大橋</v>
          </cell>
          <cell r="Z3" t="str">
            <v>山本</v>
          </cell>
          <cell r="AA3" t="str">
            <v>諸田</v>
          </cell>
          <cell r="AB3" t="str">
            <v>本田</v>
          </cell>
          <cell r="AC3" t="str">
            <v>林</v>
          </cell>
          <cell r="AD3" t="str">
            <v>木田</v>
          </cell>
          <cell r="AE3" t="str">
            <v>山村</v>
          </cell>
          <cell r="AF3" t="str">
            <v>田村</v>
          </cell>
          <cell r="AG3" t="str">
            <v>清水</v>
          </cell>
          <cell r="AH3" t="str">
            <v>西郡</v>
          </cell>
        </row>
        <row r="4">
          <cell r="D4" t="str">
            <v>袋</v>
          </cell>
          <cell r="E4" t="str">
            <v>薬司</v>
          </cell>
          <cell r="F4" t="str">
            <v>松木</v>
          </cell>
          <cell r="G4" t="str">
            <v/>
          </cell>
          <cell r="H4" t="str">
            <v>林</v>
          </cell>
          <cell r="I4" t="str">
            <v/>
          </cell>
          <cell r="J4" t="str">
            <v>山下</v>
          </cell>
          <cell r="K4" t="str">
            <v>齊藤</v>
          </cell>
          <cell r="L4" t="str">
            <v>田村</v>
          </cell>
          <cell r="M4" t="str">
            <v/>
          </cell>
          <cell r="N4" t="str">
            <v>山下</v>
          </cell>
          <cell r="O4" t="str">
            <v>袋</v>
          </cell>
          <cell r="P4" t="str">
            <v/>
          </cell>
          <cell r="Q4" t="str">
            <v>山下</v>
          </cell>
          <cell r="R4" t="str">
            <v>山下</v>
          </cell>
          <cell r="S4" t="str">
            <v/>
          </cell>
          <cell r="T4" t="str">
            <v>薬司</v>
          </cell>
          <cell r="U4" t="str">
            <v>佐藤恵</v>
          </cell>
          <cell r="V4" t="str">
            <v>龍野</v>
          </cell>
          <cell r="W4" t="str">
            <v/>
          </cell>
          <cell r="X4" t="str">
            <v>山下</v>
          </cell>
          <cell r="Y4" t="str">
            <v>澤野</v>
          </cell>
          <cell r="Z4" t="str">
            <v>田村</v>
          </cell>
          <cell r="AA4" t="str">
            <v>雨池</v>
          </cell>
          <cell r="AB4" t="str">
            <v>佐藤穂</v>
          </cell>
          <cell r="AC4" t="str">
            <v>中村公</v>
          </cell>
          <cell r="AD4" t="str">
            <v/>
          </cell>
          <cell r="AE4" t="str">
            <v>山下</v>
          </cell>
          <cell r="AF4" t="str">
            <v>佐藤穂</v>
          </cell>
          <cell r="AG4" t="str">
            <v>吉田</v>
          </cell>
          <cell r="AH4" t="str">
            <v>福知</v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>本田</v>
          </cell>
          <cell r="I5" t="str">
            <v/>
          </cell>
          <cell r="J5" t="str">
            <v>平田恵</v>
          </cell>
          <cell r="K5" t="str">
            <v/>
          </cell>
          <cell r="L5" t="str">
            <v/>
          </cell>
          <cell r="M5" t="str">
            <v/>
          </cell>
          <cell r="N5" t="str">
            <v>平田恵</v>
          </cell>
          <cell r="O5" t="str">
            <v/>
          </cell>
          <cell r="P5" t="str">
            <v/>
          </cell>
          <cell r="Q5" t="str">
            <v>長田</v>
          </cell>
          <cell r="R5" t="str">
            <v>平田恵</v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>平田恵</v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>平田恵</v>
          </cell>
          <cell r="AF5" t="str">
            <v/>
          </cell>
          <cell r="AG5" t="str">
            <v>庵</v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>長田</v>
          </cell>
          <cell r="K6" t="str">
            <v/>
          </cell>
          <cell r="L6" t="str">
            <v/>
          </cell>
          <cell r="M6" t="str">
            <v/>
          </cell>
          <cell r="N6" t="str">
            <v>長田</v>
          </cell>
          <cell r="O6" t="str">
            <v/>
          </cell>
          <cell r="P6" t="str">
            <v/>
          </cell>
          <cell r="Q6" t="str">
            <v>中井</v>
          </cell>
          <cell r="R6" t="str">
            <v>長田</v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>長田</v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>長田</v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>中井</v>
          </cell>
          <cell r="K7" t="str">
            <v/>
          </cell>
          <cell r="L7" t="str">
            <v/>
          </cell>
          <cell r="M7" t="str">
            <v/>
          </cell>
          <cell r="N7" t="str">
            <v>中井</v>
          </cell>
          <cell r="O7" t="str">
            <v/>
          </cell>
          <cell r="P7" t="str">
            <v/>
          </cell>
          <cell r="Q7" t="str">
            <v>北</v>
          </cell>
          <cell r="R7" t="str">
            <v>中井</v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>中井</v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>中井</v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>北</v>
          </cell>
          <cell r="K8" t="str">
            <v/>
          </cell>
          <cell r="L8" t="str">
            <v/>
          </cell>
          <cell r="M8" t="str">
            <v/>
          </cell>
          <cell r="N8" t="str">
            <v>北</v>
          </cell>
          <cell r="O8" t="str">
            <v/>
          </cell>
          <cell r="P8" t="str">
            <v/>
          </cell>
          <cell r="Q8" t="str">
            <v>中村映</v>
          </cell>
          <cell r="R8" t="str">
            <v>北</v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>北</v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>北</v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>中村映</v>
          </cell>
          <cell r="K9" t="str">
            <v/>
          </cell>
          <cell r="L9" t="str">
            <v/>
          </cell>
          <cell r="M9" t="str">
            <v/>
          </cell>
          <cell r="N9" t="str">
            <v>中村映</v>
          </cell>
          <cell r="O9" t="str">
            <v/>
          </cell>
          <cell r="P9" t="str">
            <v/>
          </cell>
          <cell r="Q9" t="str">
            <v>平田真</v>
          </cell>
          <cell r="R9" t="str">
            <v>中村映</v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>中村映</v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>中村映</v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>平田真</v>
          </cell>
          <cell r="K10" t="str">
            <v/>
          </cell>
          <cell r="L10" t="str">
            <v/>
          </cell>
          <cell r="M10" t="str">
            <v/>
          </cell>
          <cell r="N10" t="str">
            <v>平田真</v>
          </cell>
          <cell r="O10" t="str">
            <v/>
          </cell>
          <cell r="P10" t="str">
            <v/>
          </cell>
          <cell r="Q10" t="str">
            <v>大橋</v>
          </cell>
          <cell r="R10" t="str">
            <v>平田真</v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>平田真</v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>平田真</v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44805</v>
          </cell>
          <cell r="E1">
            <v>44806</v>
          </cell>
          <cell r="F1">
            <v>44807</v>
          </cell>
          <cell r="G1">
            <v>44808</v>
          </cell>
          <cell r="H1">
            <v>44809</v>
          </cell>
          <cell r="I1">
            <v>44810</v>
          </cell>
          <cell r="J1">
            <v>44811</v>
          </cell>
          <cell r="K1">
            <v>44812</v>
          </cell>
          <cell r="L1">
            <v>44813</v>
          </cell>
          <cell r="M1">
            <v>44814</v>
          </cell>
          <cell r="N1">
            <v>44815</v>
          </cell>
          <cell r="O1">
            <v>44816</v>
          </cell>
          <cell r="P1">
            <v>44817</v>
          </cell>
          <cell r="Q1">
            <v>44818</v>
          </cell>
          <cell r="R1">
            <v>44819</v>
          </cell>
          <cell r="S1">
            <v>44820</v>
          </cell>
          <cell r="T1">
            <v>44821</v>
          </cell>
          <cell r="U1">
            <v>44822</v>
          </cell>
          <cell r="V1">
            <v>44823</v>
          </cell>
          <cell r="W1">
            <v>44824</v>
          </cell>
          <cell r="X1">
            <v>44825</v>
          </cell>
          <cell r="Y1">
            <v>44826</v>
          </cell>
          <cell r="Z1">
            <v>44827</v>
          </cell>
          <cell r="AA1">
            <v>44828</v>
          </cell>
          <cell r="AB1">
            <v>44829</v>
          </cell>
          <cell r="AC1">
            <v>44830</v>
          </cell>
          <cell r="AD1">
            <v>44831</v>
          </cell>
          <cell r="AE1">
            <v>44832</v>
          </cell>
          <cell r="AF1">
            <v>44833</v>
          </cell>
          <cell r="AG1">
            <v>44834</v>
          </cell>
          <cell r="AH1" t="str">
            <v/>
          </cell>
        </row>
        <row r="2">
          <cell r="D2">
            <v>44805</v>
          </cell>
          <cell r="E2">
            <v>44806</v>
          </cell>
          <cell r="F2">
            <v>44807</v>
          </cell>
          <cell r="G2">
            <v>44808</v>
          </cell>
          <cell r="H2">
            <v>44809</v>
          </cell>
          <cell r="I2">
            <v>44810</v>
          </cell>
          <cell r="J2">
            <v>44811</v>
          </cell>
          <cell r="K2">
            <v>44812</v>
          </cell>
          <cell r="L2">
            <v>44813</v>
          </cell>
          <cell r="M2">
            <v>44814</v>
          </cell>
          <cell r="N2">
            <v>44815</v>
          </cell>
          <cell r="O2">
            <v>44816</v>
          </cell>
          <cell r="P2">
            <v>44817</v>
          </cell>
          <cell r="Q2">
            <v>44818</v>
          </cell>
          <cell r="R2">
            <v>44819</v>
          </cell>
          <cell r="S2">
            <v>44820</v>
          </cell>
          <cell r="T2">
            <v>44821</v>
          </cell>
          <cell r="U2">
            <v>44822</v>
          </cell>
          <cell r="V2">
            <v>44823</v>
          </cell>
          <cell r="W2">
            <v>44824</v>
          </cell>
          <cell r="X2">
            <v>44825</v>
          </cell>
          <cell r="Y2">
            <v>44826</v>
          </cell>
          <cell r="Z2">
            <v>44827</v>
          </cell>
          <cell r="AA2">
            <v>44828</v>
          </cell>
          <cell r="AB2">
            <v>44829</v>
          </cell>
          <cell r="AC2">
            <v>44830</v>
          </cell>
          <cell r="AD2">
            <v>44831</v>
          </cell>
          <cell r="AE2">
            <v>44832</v>
          </cell>
          <cell r="AF2">
            <v>44833</v>
          </cell>
          <cell r="AG2">
            <v>44834</v>
          </cell>
          <cell r="AH2" t="str">
            <v/>
          </cell>
        </row>
        <row r="3">
          <cell r="D3" t="str">
            <v>山田</v>
          </cell>
          <cell r="E3" t="str">
            <v>長田</v>
          </cell>
          <cell r="F3" t="str">
            <v>佐藤恵</v>
          </cell>
          <cell r="G3" t="str">
            <v>齊藤</v>
          </cell>
          <cell r="H3" t="str">
            <v>清水</v>
          </cell>
          <cell r="I3" t="str">
            <v>西郡</v>
          </cell>
          <cell r="J3" t="str">
            <v>大橋</v>
          </cell>
          <cell r="K3" t="str">
            <v>山本</v>
          </cell>
          <cell r="L3" t="str">
            <v>佐藤恵</v>
          </cell>
          <cell r="M3" t="str">
            <v>吉田</v>
          </cell>
          <cell r="N3" t="str">
            <v>田村</v>
          </cell>
          <cell r="O3" t="str">
            <v>澤野</v>
          </cell>
          <cell r="P3" t="str">
            <v>大橋</v>
          </cell>
          <cell r="Q3" t="str">
            <v>西郡</v>
          </cell>
          <cell r="R3" t="str">
            <v>平田恵</v>
          </cell>
          <cell r="S3" t="str">
            <v>山下</v>
          </cell>
          <cell r="T3" t="str">
            <v>林</v>
          </cell>
          <cell r="U3" t="str">
            <v>長田</v>
          </cell>
          <cell r="V3" t="str">
            <v>大橋</v>
          </cell>
          <cell r="W3" t="str">
            <v>龍野</v>
          </cell>
          <cell r="X3" t="str">
            <v>澤野</v>
          </cell>
          <cell r="Y3" t="str">
            <v>田村</v>
          </cell>
          <cell r="Z3" t="str">
            <v>大橋</v>
          </cell>
          <cell r="AA3" t="str">
            <v>松木</v>
          </cell>
          <cell r="AB3" t="str">
            <v>佐藤恵</v>
          </cell>
          <cell r="AC3" t="str">
            <v>南</v>
          </cell>
          <cell r="AD3" t="str">
            <v>大橋</v>
          </cell>
          <cell r="AE3" t="str">
            <v>本田</v>
          </cell>
          <cell r="AF3" t="str">
            <v>長田</v>
          </cell>
          <cell r="AG3" t="str">
            <v>加藤</v>
          </cell>
          <cell r="AH3" t="str">
            <v/>
          </cell>
        </row>
        <row r="4">
          <cell r="D4" t="str">
            <v>松木</v>
          </cell>
          <cell r="E4" t="str">
            <v>庵</v>
          </cell>
          <cell r="F4" t="str">
            <v>本田</v>
          </cell>
          <cell r="G4" t="str">
            <v>加藤</v>
          </cell>
          <cell r="H4" t="str">
            <v>龍野</v>
          </cell>
          <cell r="I4" t="str">
            <v>中村公</v>
          </cell>
          <cell r="J4" t="str">
            <v>雨池</v>
          </cell>
          <cell r="K4" t="str">
            <v>薬司</v>
          </cell>
          <cell r="L4" t="str">
            <v>諸田</v>
          </cell>
          <cell r="M4" t="str">
            <v>松木</v>
          </cell>
          <cell r="N4" t="str">
            <v>佐藤穂</v>
          </cell>
          <cell r="O4" t="str">
            <v>加藤</v>
          </cell>
          <cell r="P4" t="str">
            <v>南</v>
          </cell>
          <cell r="Q4" t="str">
            <v>袋</v>
          </cell>
          <cell r="R4" t="str">
            <v>齊藤</v>
          </cell>
          <cell r="S4" t="str">
            <v>清水</v>
          </cell>
          <cell r="T4" t="str">
            <v>佐藤恵</v>
          </cell>
          <cell r="U4" t="str">
            <v>松木</v>
          </cell>
          <cell r="V4" t="str">
            <v>山本</v>
          </cell>
          <cell r="W4" t="str">
            <v>西郡</v>
          </cell>
          <cell r="X4" t="str">
            <v>山田</v>
          </cell>
          <cell r="Y4" t="str">
            <v>庵</v>
          </cell>
          <cell r="Z4" t="str">
            <v>福知</v>
          </cell>
          <cell r="AA4" t="str">
            <v>諸田</v>
          </cell>
          <cell r="AB4" t="str">
            <v>薬司</v>
          </cell>
          <cell r="AC4" t="str">
            <v>田村</v>
          </cell>
          <cell r="AD4" t="str">
            <v>樫田</v>
          </cell>
          <cell r="AE4" t="str">
            <v>松木</v>
          </cell>
          <cell r="AF4" t="str">
            <v>庵</v>
          </cell>
          <cell r="AG4" t="str">
            <v>佐藤穂</v>
          </cell>
          <cell r="AH4" t="str">
            <v/>
          </cell>
        </row>
      </sheetData>
      <sheetData sheetId="9">
        <row r="1">
          <cell r="D1">
            <v>44805</v>
          </cell>
          <cell r="E1">
            <v>44806</v>
          </cell>
          <cell r="F1">
            <v>44807</v>
          </cell>
          <cell r="G1">
            <v>44808</v>
          </cell>
          <cell r="H1">
            <v>44809</v>
          </cell>
          <cell r="I1">
            <v>44810</v>
          </cell>
          <cell r="J1">
            <v>44811</v>
          </cell>
          <cell r="K1">
            <v>44812</v>
          </cell>
          <cell r="L1">
            <v>44813</v>
          </cell>
          <cell r="M1">
            <v>44814</v>
          </cell>
          <cell r="N1">
            <v>44815</v>
          </cell>
          <cell r="O1">
            <v>44816</v>
          </cell>
          <cell r="P1">
            <v>44817</v>
          </cell>
          <cell r="Q1">
            <v>44818</v>
          </cell>
          <cell r="R1">
            <v>44819</v>
          </cell>
          <cell r="S1">
            <v>44820</v>
          </cell>
          <cell r="T1">
            <v>44821</v>
          </cell>
          <cell r="U1">
            <v>44822</v>
          </cell>
          <cell r="V1">
            <v>44823</v>
          </cell>
          <cell r="W1">
            <v>44824</v>
          </cell>
          <cell r="X1">
            <v>44825</v>
          </cell>
          <cell r="Y1">
            <v>44826</v>
          </cell>
          <cell r="Z1">
            <v>44827</v>
          </cell>
          <cell r="AA1">
            <v>44828</v>
          </cell>
          <cell r="AB1">
            <v>44829</v>
          </cell>
          <cell r="AC1">
            <v>44830</v>
          </cell>
          <cell r="AD1">
            <v>44831</v>
          </cell>
          <cell r="AE1">
            <v>44832</v>
          </cell>
          <cell r="AF1">
            <v>44833</v>
          </cell>
          <cell r="AG1">
            <v>44834</v>
          </cell>
          <cell r="AH1" t="str">
            <v/>
          </cell>
        </row>
        <row r="2">
          <cell r="D2">
            <v>44805</v>
          </cell>
          <cell r="E2">
            <v>44806</v>
          </cell>
          <cell r="F2">
            <v>44807</v>
          </cell>
          <cell r="G2">
            <v>44808</v>
          </cell>
          <cell r="H2">
            <v>44809</v>
          </cell>
          <cell r="I2">
            <v>44810</v>
          </cell>
          <cell r="J2">
            <v>44811</v>
          </cell>
          <cell r="K2">
            <v>44812</v>
          </cell>
          <cell r="L2">
            <v>44813</v>
          </cell>
          <cell r="M2">
            <v>44814</v>
          </cell>
          <cell r="N2">
            <v>44815</v>
          </cell>
          <cell r="O2">
            <v>44816</v>
          </cell>
          <cell r="P2">
            <v>44817</v>
          </cell>
          <cell r="Q2">
            <v>44818</v>
          </cell>
          <cell r="R2">
            <v>44819</v>
          </cell>
          <cell r="S2">
            <v>44820</v>
          </cell>
          <cell r="T2">
            <v>44821</v>
          </cell>
          <cell r="U2">
            <v>44822</v>
          </cell>
          <cell r="V2">
            <v>44823</v>
          </cell>
          <cell r="W2">
            <v>44824</v>
          </cell>
          <cell r="X2">
            <v>44825</v>
          </cell>
          <cell r="Y2">
            <v>44826</v>
          </cell>
          <cell r="Z2">
            <v>44827</v>
          </cell>
          <cell r="AA2">
            <v>44828</v>
          </cell>
          <cell r="AB2">
            <v>44829</v>
          </cell>
          <cell r="AC2">
            <v>44830</v>
          </cell>
          <cell r="AD2">
            <v>44831</v>
          </cell>
          <cell r="AE2">
            <v>44832</v>
          </cell>
          <cell r="AF2">
            <v>44833</v>
          </cell>
          <cell r="AG2">
            <v>44834</v>
          </cell>
          <cell r="AH2" t="str">
            <v/>
          </cell>
        </row>
        <row r="3">
          <cell r="D3" t="str">
            <v>本田</v>
          </cell>
          <cell r="E3" t="str">
            <v>大橋</v>
          </cell>
          <cell r="F3" t="str">
            <v/>
          </cell>
          <cell r="G3" t="str">
            <v>山村</v>
          </cell>
          <cell r="H3" t="str">
            <v>齊藤</v>
          </cell>
          <cell r="I3" t="str">
            <v>清水</v>
          </cell>
          <cell r="J3" t="str">
            <v>佐藤恵</v>
          </cell>
          <cell r="K3" t="str">
            <v>袋</v>
          </cell>
          <cell r="L3" t="str">
            <v>山本</v>
          </cell>
          <cell r="M3" t="str">
            <v>能登</v>
          </cell>
          <cell r="N3" t="str">
            <v>山村</v>
          </cell>
          <cell r="O3" t="str">
            <v>田村</v>
          </cell>
          <cell r="P3" t="str">
            <v>澤野</v>
          </cell>
          <cell r="Q3" t="str">
            <v>大橋</v>
          </cell>
          <cell r="R3" t="str">
            <v>林</v>
          </cell>
          <cell r="S3" t="str">
            <v>松木</v>
          </cell>
          <cell r="T3" t="str">
            <v/>
          </cell>
          <cell r="U3" t="str">
            <v>山村</v>
          </cell>
          <cell r="V3" t="str">
            <v>山村</v>
          </cell>
          <cell r="W3" t="str">
            <v>大橋</v>
          </cell>
          <cell r="X3" t="str">
            <v>龍野</v>
          </cell>
          <cell r="Y3" t="str">
            <v>林</v>
          </cell>
          <cell r="Z3" t="str">
            <v>山村</v>
          </cell>
          <cell r="AA3" t="str">
            <v/>
          </cell>
          <cell r="AB3" t="str">
            <v>山村</v>
          </cell>
          <cell r="AC3" t="str">
            <v>佐藤恵</v>
          </cell>
          <cell r="AD3" t="str">
            <v>南</v>
          </cell>
          <cell r="AE3" t="str">
            <v>諸田</v>
          </cell>
          <cell r="AF3" t="str">
            <v>平田恵</v>
          </cell>
          <cell r="AG3" t="str">
            <v>長田</v>
          </cell>
          <cell r="AH3" t="str">
            <v/>
          </cell>
        </row>
        <row r="4">
          <cell r="D4" t="str">
            <v/>
          </cell>
          <cell r="E4" t="str">
            <v>松木</v>
          </cell>
          <cell r="F4" t="str">
            <v/>
          </cell>
          <cell r="G4" t="str">
            <v>山下</v>
          </cell>
          <cell r="H4" t="str">
            <v/>
          </cell>
          <cell r="I4" t="str">
            <v>加藤</v>
          </cell>
          <cell r="J4" t="str">
            <v/>
          </cell>
          <cell r="K4" t="str">
            <v/>
          </cell>
          <cell r="L4" t="str">
            <v>福知</v>
          </cell>
          <cell r="M4" t="str">
            <v/>
          </cell>
          <cell r="N4" t="str">
            <v>山下</v>
          </cell>
          <cell r="O4" t="str">
            <v>佐藤穂</v>
          </cell>
          <cell r="P4" t="str">
            <v>加藤</v>
          </cell>
          <cell r="Q4" t="str">
            <v>吉田</v>
          </cell>
          <cell r="R4" t="str">
            <v>佐藤恵</v>
          </cell>
          <cell r="S4" t="str">
            <v/>
          </cell>
          <cell r="T4" t="str">
            <v/>
          </cell>
          <cell r="U4" t="str">
            <v>山下</v>
          </cell>
          <cell r="V4" t="str">
            <v>山下</v>
          </cell>
          <cell r="W4" t="str">
            <v>山本</v>
          </cell>
          <cell r="X4" t="str">
            <v>西郡</v>
          </cell>
          <cell r="Y4" t="str">
            <v>樫田</v>
          </cell>
          <cell r="Z4" t="str">
            <v>山下</v>
          </cell>
          <cell r="AA4" t="str">
            <v/>
          </cell>
          <cell r="AB4" t="str">
            <v>山下</v>
          </cell>
          <cell r="AC4" t="str">
            <v>薬司</v>
          </cell>
          <cell r="AD4" t="str">
            <v>田村</v>
          </cell>
          <cell r="AE4" t="str">
            <v>福知</v>
          </cell>
          <cell r="AF4" t="str">
            <v>大橋</v>
          </cell>
          <cell r="AG4" t="str">
            <v/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>平田恵</v>
          </cell>
          <cell r="H5" t="str">
            <v/>
          </cell>
          <cell r="I5" t="str">
            <v>龍野</v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>平田恵</v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>平田恵</v>
          </cell>
          <cell r="V5" t="str">
            <v>平田恵</v>
          </cell>
          <cell r="W5" t="str">
            <v/>
          </cell>
          <cell r="X5" t="str">
            <v>中村公</v>
          </cell>
          <cell r="Y5" t="str">
            <v/>
          </cell>
          <cell r="Z5" t="str">
            <v>平田恵</v>
          </cell>
          <cell r="AA5" t="str">
            <v/>
          </cell>
          <cell r="AB5" t="str">
            <v>平田恵</v>
          </cell>
          <cell r="AC5" t="str">
            <v>松木</v>
          </cell>
          <cell r="AD5" t="str">
            <v>諸田</v>
          </cell>
          <cell r="AE5" t="str">
            <v>雨池</v>
          </cell>
          <cell r="AF5" t="str">
            <v>松木</v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>長田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>長田</v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>中井</v>
          </cell>
          <cell r="V6" t="str">
            <v>長田</v>
          </cell>
          <cell r="W6" t="str">
            <v/>
          </cell>
          <cell r="X6" t="str">
            <v/>
          </cell>
          <cell r="Y6" t="str">
            <v/>
          </cell>
          <cell r="Z6" t="str">
            <v>長田</v>
          </cell>
          <cell r="AA6" t="str">
            <v/>
          </cell>
          <cell r="AB6" t="str">
            <v>長田</v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>中井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>中井</v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>北</v>
          </cell>
          <cell r="V7" t="str">
            <v>中井</v>
          </cell>
          <cell r="W7" t="str">
            <v/>
          </cell>
          <cell r="X7" t="str">
            <v/>
          </cell>
          <cell r="Y7" t="str">
            <v/>
          </cell>
          <cell r="Z7" t="str">
            <v>中井</v>
          </cell>
          <cell r="AA7" t="str">
            <v/>
          </cell>
          <cell r="AB7" t="str">
            <v>中井</v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>北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>北</v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>中村映</v>
          </cell>
          <cell r="V8" t="str">
            <v>北</v>
          </cell>
          <cell r="W8" t="str">
            <v/>
          </cell>
          <cell r="X8" t="str">
            <v/>
          </cell>
          <cell r="Y8" t="str">
            <v/>
          </cell>
          <cell r="Z8" t="str">
            <v>北</v>
          </cell>
          <cell r="AA8" t="str">
            <v/>
          </cell>
          <cell r="AB8" t="str">
            <v>北</v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>中村映</v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>中村映</v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>平田真</v>
          </cell>
          <cell r="V9" t="str">
            <v>中村映</v>
          </cell>
          <cell r="W9" t="str">
            <v/>
          </cell>
          <cell r="X9" t="str">
            <v/>
          </cell>
          <cell r="Y9" t="str">
            <v/>
          </cell>
          <cell r="Z9" t="str">
            <v>中村映</v>
          </cell>
          <cell r="AA9" t="str">
            <v/>
          </cell>
          <cell r="AB9" t="str">
            <v>中村映</v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>平田真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>平田真</v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>南</v>
          </cell>
          <cell r="V10" t="str">
            <v>平田真</v>
          </cell>
          <cell r="W10" t="str">
            <v/>
          </cell>
          <cell r="X10" t="str">
            <v/>
          </cell>
          <cell r="Y10" t="str">
            <v/>
          </cell>
          <cell r="Z10" t="str">
            <v>平田真</v>
          </cell>
          <cell r="AA10" t="str">
            <v/>
          </cell>
          <cell r="AB10" t="str">
            <v>平田真</v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44835</v>
          </cell>
          <cell r="E1">
            <v>44836</v>
          </cell>
          <cell r="F1">
            <v>44837</v>
          </cell>
          <cell r="G1">
            <v>44838</v>
          </cell>
          <cell r="H1">
            <v>44839</v>
          </cell>
          <cell r="I1">
            <v>44840</v>
          </cell>
          <cell r="J1">
            <v>44841</v>
          </cell>
          <cell r="K1">
            <v>44842</v>
          </cell>
          <cell r="L1">
            <v>44843</v>
          </cell>
          <cell r="M1">
            <v>44844</v>
          </cell>
          <cell r="N1">
            <v>44845</v>
          </cell>
          <cell r="O1">
            <v>44846</v>
          </cell>
          <cell r="P1">
            <v>44847</v>
          </cell>
          <cell r="Q1">
            <v>44848</v>
          </cell>
          <cell r="R1">
            <v>44849</v>
          </cell>
          <cell r="S1">
            <v>44850</v>
          </cell>
          <cell r="T1">
            <v>44851</v>
          </cell>
          <cell r="U1">
            <v>44852</v>
          </cell>
          <cell r="V1">
            <v>44853</v>
          </cell>
          <cell r="W1">
            <v>44854</v>
          </cell>
          <cell r="X1">
            <v>44855</v>
          </cell>
          <cell r="Y1">
            <v>44856</v>
          </cell>
          <cell r="Z1">
            <v>44857</v>
          </cell>
          <cell r="AA1">
            <v>44858</v>
          </cell>
          <cell r="AB1">
            <v>44859</v>
          </cell>
          <cell r="AC1">
            <v>44860</v>
          </cell>
          <cell r="AD1">
            <v>44861</v>
          </cell>
          <cell r="AE1">
            <v>44862</v>
          </cell>
          <cell r="AF1">
            <v>44863</v>
          </cell>
          <cell r="AG1">
            <v>44864</v>
          </cell>
          <cell r="AH1">
            <v>44865</v>
          </cell>
        </row>
        <row r="2">
          <cell r="D2">
            <v>44835</v>
          </cell>
          <cell r="E2">
            <v>44836</v>
          </cell>
          <cell r="F2">
            <v>44837</v>
          </cell>
          <cell r="G2">
            <v>44838</v>
          </cell>
          <cell r="H2">
            <v>44839</v>
          </cell>
          <cell r="I2">
            <v>44840</v>
          </cell>
          <cell r="J2">
            <v>44841</v>
          </cell>
          <cell r="K2">
            <v>44842</v>
          </cell>
          <cell r="L2">
            <v>44843</v>
          </cell>
          <cell r="M2">
            <v>44844</v>
          </cell>
          <cell r="N2">
            <v>44845</v>
          </cell>
          <cell r="O2">
            <v>44846</v>
          </cell>
          <cell r="P2">
            <v>44847</v>
          </cell>
          <cell r="Q2">
            <v>44848</v>
          </cell>
          <cell r="R2">
            <v>44849</v>
          </cell>
          <cell r="S2">
            <v>44850</v>
          </cell>
          <cell r="T2">
            <v>44851</v>
          </cell>
          <cell r="U2">
            <v>44852</v>
          </cell>
          <cell r="V2">
            <v>44853</v>
          </cell>
          <cell r="W2">
            <v>44854</v>
          </cell>
          <cell r="X2">
            <v>44855</v>
          </cell>
          <cell r="Y2">
            <v>44856</v>
          </cell>
          <cell r="Z2">
            <v>44857</v>
          </cell>
          <cell r="AA2">
            <v>44858</v>
          </cell>
          <cell r="AB2">
            <v>44859</v>
          </cell>
          <cell r="AC2">
            <v>44860</v>
          </cell>
          <cell r="AD2">
            <v>44861</v>
          </cell>
          <cell r="AE2">
            <v>44862</v>
          </cell>
          <cell r="AF2">
            <v>44863</v>
          </cell>
          <cell r="AG2">
            <v>44864</v>
          </cell>
          <cell r="AH2">
            <v>44865</v>
          </cell>
        </row>
        <row r="3">
          <cell r="D3" t="str">
            <v>平田恵</v>
          </cell>
          <cell r="E3" t="str">
            <v>清水</v>
          </cell>
          <cell r="F3" t="str">
            <v>山本</v>
          </cell>
          <cell r="G3" t="str">
            <v>薬司</v>
          </cell>
          <cell r="H3" t="str">
            <v>澤野</v>
          </cell>
          <cell r="I3" t="str">
            <v>齊藤</v>
          </cell>
          <cell r="J3" t="str">
            <v>長田</v>
          </cell>
          <cell r="K3" t="str">
            <v>大橋</v>
          </cell>
          <cell r="L3" t="str">
            <v>平田恵</v>
          </cell>
          <cell r="M3" t="str">
            <v>南</v>
          </cell>
          <cell r="N3" t="str">
            <v>清水</v>
          </cell>
          <cell r="O3" t="str">
            <v>松木</v>
          </cell>
          <cell r="P3" t="str">
            <v>佐藤恵</v>
          </cell>
          <cell r="Q3" t="str">
            <v>田村</v>
          </cell>
          <cell r="R3" t="str">
            <v>山田</v>
          </cell>
          <cell r="S3" t="str">
            <v>大橋</v>
          </cell>
          <cell r="T3" t="str">
            <v>山下</v>
          </cell>
          <cell r="U3" t="str">
            <v>龍野</v>
          </cell>
          <cell r="V3" t="str">
            <v>南</v>
          </cell>
          <cell r="W3" t="str">
            <v>佐藤穂</v>
          </cell>
          <cell r="X3" t="str">
            <v>齊藤</v>
          </cell>
          <cell r="Y3" t="str">
            <v>長田</v>
          </cell>
          <cell r="Z3" t="str">
            <v>吉田</v>
          </cell>
          <cell r="AA3" t="str">
            <v>大橋</v>
          </cell>
          <cell r="AB3" t="str">
            <v>平田恵</v>
          </cell>
          <cell r="AC3" t="str">
            <v>清水</v>
          </cell>
          <cell r="AD3" t="str">
            <v>加藤</v>
          </cell>
          <cell r="AE3" t="str">
            <v>長田</v>
          </cell>
          <cell r="AF3" t="str">
            <v>佐藤恵</v>
          </cell>
          <cell r="AG3" t="str">
            <v>大橋</v>
          </cell>
          <cell r="AH3" t="str">
            <v>澤野</v>
          </cell>
        </row>
        <row r="4">
          <cell r="D4" t="str">
            <v>西郡</v>
          </cell>
          <cell r="E4" t="str">
            <v>林</v>
          </cell>
          <cell r="F4" t="str">
            <v>松木</v>
          </cell>
          <cell r="G4" t="str">
            <v>西郡</v>
          </cell>
          <cell r="H4" t="str">
            <v>山田</v>
          </cell>
          <cell r="I4" t="str">
            <v>加藤</v>
          </cell>
          <cell r="J4" t="str">
            <v>庵</v>
          </cell>
          <cell r="K4" t="str">
            <v>諸田</v>
          </cell>
          <cell r="L4" t="str">
            <v>田村</v>
          </cell>
          <cell r="M4" t="str">
            <v>加藤</v>
          </cell>
          <cell r="N4" t="str">
            <v>佐藤穂</v>
          </cell>
          <cell r="O4" t="str">
            <v>中村公</v>
          </cell>
          <cell r="P4" t="str">
            <v>龍野</v>
          </cell>
          <cell r="Q4" t="str">
            <v>本田</v>
          </cell>
          <cell r="R4" t="str">
            <v>西郡</v>
          </cell>
          <cell r="S4" t="str">
            <v>雨池</v>
          </cell>
          <cell r="T4" t="str">
            <v>佐藤恵</v>
          </cell>
          <cell r="U4" t="str">
            <v>福知</v>
          </cell>
          <cell r="V4" t="str">
            <v>西郡</v>
          </cell>
          <cell r="W4" t="str">
            <v>松木</v>
          </cell>
          <cell r="X4" t="str">
            <v>加藤</v>
          </cell>
          <cell r="Y4" t="str">
            <v>庵</v>
          </cell>
          <cell r="Z4" t="str">
            <v>田村</v>
          </cell>
          <cell r="AA4" t="str">
            <v>樫田</v>
          </cell>
          <cell r="AB4" t="str">
            <v>松木</v>
          </cell>
          <cell r="AC4" t="str">
            <v>本田</v>
          </cell>
          <cell r="AD4" t="str">
            <v>諸田</v>
          </cell>
          <cell r="AE4" t="str">
            <v>庵</v>
          </cell>
          <cell r="AF4" t="str">
            <v>袋</v>
          </cell>
          <cell r="AG4" t="str">
            <v>福知</v>
          </cell>
          <cell r="AH4" t="str">
            <v>西郡</v>
          </cell>
        </row>
      </sheetData>
      <sheetData sheetId="9">
        <row r="1">
          <cell r="D1">
            <v>44835</v>
          </cell>
          <cell r="E1">
            <v>44836</v>
          </cell>
          <cell r="F1">
            <v>44837</v>
          </cell>
          <cell r="G1">
            <v>44838</v>
          </cell>
          <cell r="H1">
            <v>44839</v>
          </cell>
          <cell r="I1">
            <v>44840</v>
          </cell>
          <cell r="J1">
            <v>44841</v>
          </cell>
          <cell r="K1">
            <v>44842</v>
          </cell>
          <cell r="L1">
            <v>44843</v>
          </cell>
          <cell r="M1">
            <v>44844</v>
          </cell>
          <cell r="N1">
            <v>44845</v>
          </cell>
          <cell r="O1">
            <v>44846</v>
          </cell>
          <cell r="P1">
            <v>44847</v>
          </cell>
          <cell r="Q1">
            <v>44848</v>
          </cell>
          <cell r="R1">
            <v>44849</v>
          </cell>
          <cell r="S1">
            <v>44850</v>
          </cell>
          <cell r="T1">
            <v>44851</v>
          </cell>
          <cell r="U1">
            <v>44852</v>
          </cell>
          <cell r="V1">
            <v>44853</v>
          </cell>
          <cell r="W1">
            <v>44854</v>
          </cell>
          <cell r="X1">
            <v>44855</v>
          </cell>
          <cell r="Y1">
            <v>44856</v>
          </cell>
          <cell r="Z1">
            <v>44857</v>
          </cell>
          <cell r="AA1">
            <v>44858</v>
          </cell>
          <cell r="AB1">
            <v>44859</v>
          </cell>
          <cell r="AC1">
            <v>44860</v>
          </cell>
          <cell r="AD1">
            <v>44861</v>
          </cell>
          <cell r="AE1">
            <v>44862</v>
          </cell>
          <cell r="AF1">
            <v>44863</v>
          </cell>
          <cell r="AG1">
            <v>44864</v>
          </cell>
          <cell r="AH1">
            <v>44865</v>
          </cell>
        </row>
        <row r="2">
          <cell r="D2">
            <v>44835</v>
          </cell>
          <cell r="E2">
            <v>44836</v>
          </cell>
          <cell r="F2">
            <v>44837</v>
          </cell>
          <cell r="G2">
            <v>44838</v>
          </cell>
          <cell r="H2">
            <v>44839</v>
          </cell>
          <cell r="I2">
            <v>44840</v>
          </cell>
          <cell r="J2">
            <v>44841</v>
          </cell>
          <cell r="K2">
            <v>44842</v>
          </cell>
          <cell r="L2">
            <v>44843</v>
          </cell>
          <cell r="M2">
            <v>44844</v>
          </cell>
          <cell r="N2">
            <v>44845</v>
          </cell>
          <cell r="O2">
            <v>44846</v>
          </cell>
          <cell r="P2">
            <v>44847</v>
          </cell>
          <cell r="Q2">
            <v>44848</v>
          </cell>
          <cell r="R2">
            <v>44849</v>
          </cell>
          <cell r="S2">
            <v>44850</v>
          </cell>
          <cell r="T2">
            <v>44851</v>
          </cell>
          <cell r="U2">
            <v>44852</v>
          </cell>
          <cell r="V2">
            <v>44853</v>
          </cell>
          <cell r="W2">
            <v>44854</v>
          </cell>
          <cell r="X2">
            <v>44855</v>
          </cell>
          <cell r="Y2">
            <v>44856</v>
          </cell>
          <cell r="Z2">
            <v>44857</v>
          </cell>
          <cell r="AA2">
            <v>44858</v>
          </cell>
          <cell r="AB2">
            <v>44859</v>
          </cell>
          <cell r="AC2">
            <v>44860</v>
          </cell>
          <cell r="AD2">
            <v>44861</v>
          </cell>
          <cell r="AE2">
            <v>44862</v>
          </cell>
          <cell r="AF2">
            <v>44863</v>
          </cell>
          <cell r="AG2">
            <v>44864</v>
          </cell>
          <cell r="AH2">
            <v>44865</v>
          </cell>
        </row>
        <row r="3">
          <cell r="D3" t="str">
            <v/>
          </cell>
          <cell r="E3" t="str">
            <v>山村</v>
          </cell>
          <cell r="F3" t="str">
            <v>清水</v>
          </cell>
          <cell r="G3" t="str">
            <v>山本</v>
          </cell>
          <cell r="H3" t="str">
            <v>西郡</v>
          </cell>
          <cell r="I3" t="str">
            <v>袋</v>
          </cell>
          <cell r="J3" t="str">
            <v>田村</v>
          </cell>
          <cell r="K3" t="str">
            <v/>
          </cell>
          <cell r="L3" t="str">
            <v>山村</v>
          </cell>
          <cell r="M3" t="str">
            <v>山村</v>
          </cell>
          <cell r="N3" t="str">
            <v>南</v>
          </cell>
          <cell r="O3" t="str">
            <v>清水</v>
          </cell>
          <cell r="P3" t="str">
            <v>吉田</v>
          </cell>
          <cell r="Q3" t="str">
            <v>大橋</v>
          </cell>
          <cell r="R3" t="str">
            <v/>
          </cell>
          <cell r="S3" t="str">
            <v>山村</v>
          </cell>
          <cell r="T3" t="str">
            <v>雨池</v>
          </cell>
          <cell r="U3" t="str">
            <v>山下</v>
          </cell>
          <cell r="V3" t="str">
            <v>山田</v>
          </cell>
          <cell r="W3" t="str">
            <v>西郡</v>
          </cell>
          <cell r="X3" t="str">
            <v>大橋</v>
          </cell>
          <cell r="Y3" t="str">
            <v/>
          </cell>
          <cell r="Z3" t="str">
            <v>山村</v>
          </cell>
          <cell r="AA3" t="str">
            <v>吉田</v>
          </cell>
          <cell r="AB3" t="str">
            <v>長田</v>
          </cell>
          <cell r="AC3" t="str">
            <v>平田恵</v>
          </cell>
          <cell r="AD3" t="str">
            <v>佐藤恵</v>
          </cell>
          <cell r="AE3" t="str">
            <v>雨池</v>
          </cell>
          <cell r="AF3" t="str">
            <v/>
          </cell>
          <cell r="AG3" t="str">
            <v>山村</v>
          </cell>
          <cell r="AH3" t="str">
            <v>大橋</v>
          </cell>
        </row>
        <row r="4">
          <cell r="D4" t="str">
            <v/>
          </cell>
          <cell r="E4" t="str">
            <v>山下</v>
          </cell>
          <cell r="F4" t="str">
            <v>林</v>
          </cell>
          <cell r="G4" t="str">
            <v>松木</v>
          </cell>
          <cell r="H4" t="str">
            <v/>
          </cell>
          <cell r="I4" t="str">
            <v/>
          </cell>
          <cell r="J4" t="str">
            <v>樫田</v>
          </cell>
          <cell r="K4" t="str">
            <v/>
          </cell>
          <cell r="L4" t="str">
            <v>山下</v>
          </cell>
          <cell r="M4" t="str">
            <v>山下</v>
          </cell>
          <cell r="N4" t="str">
            <v>加藤</v>
          </cell>
          <cell r="O4" t="str">
            <v>加藤</v>
          </cell>
          <cell r="P4" t="str">
            <v>諸田</v>
          </cell>
          <cell r="Q4" t="str">
            <v>南</v>
          </cell>
          <cell r="R4" t="str">
            <v/>
          </cell>
          <cell r="S4" t="str">
            <v>平田恵</v>
          </cell>
          <cell r="T4" t="str">
            <v/>
          </cell>
          <cell r="U4" t="str">
            <v>佐藤恵</v>
          </cell>
          <cell r="V4" t="str">
            <v/>
          </cell>
          <cell r="W4" t="str">
            <v/>
          </cell>
          <cell r="X4" t="str">
            <v>林</v>
          </cell>
          <cell r="Y4" t="str">
            <v/>
          </cell>
          <cell r="Z4" t="str">
            <v>山下</v>
          </cell>
          <cell r="AA4" t="str">
            <v>田村</v>
          </cell>
          <cell r="AB4" t="str">
            <v>大橋</v>
          </cell>
          <cell r="AC4" t="str">
            <v>庵</v>
          </cell>
          <cell r="AD4" t="str">
            <v>袋</v>
          </cell>
          <cell r="AE4" t="str">
            <v/>
          </cell>
          <cell r="AF4" t="str">
            <v/>
          </cell>
          <cell r="AG4" t="str">
            <v>山下</v>
          </cell>
          <cell r="AH4" t="str">
            <v>福知</v>
          </cell>
        </row>
        <row r="5">
          <cell r="D5" t="str">
            <v/>
          </cell>
          <cell r="E5" t="str">
            <v>平田恵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>長田</v>
          </cell>
          <cell r="M5" t="str">
            <v>平田恵</v>
          </cell>
          <cell r="N5" t="str">
            <v/>
          </cell>
          <cell r="O5" t="str">
            <v>佐藤穂</v>
          </cell>
          <cell r="P5" t="str">
            <v/>
          </cell>
          <cell r="Q5" t="str">
            <v/>
          </cell>
          <cell r="R5" t="str">
            <v/>
          </cell>
          <cell r="S5" t="str">
            <v>長田</v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>平田恵</v>
          </cell>
          <cell r="AA5" t="str">
            <v/>
          </cell>
          <cell r="AB5" t="str">
            <v>樫田</v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>平田恵</v>
          </cell>
          <cell r="AH5" t="str">
            <v/>
          </cell>
        </row>
        <row r="6">
          <cell r="D6" t="str">
            <v/>
          </cell>
          <cell r="E6" t="str">
            <v>長田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>中井</v>
          </cell>
          <cell r="M6" t="str">
            <v>長田</v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>中井</v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>長田</v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>長田</v>
          </cell>
          <cell r="AH6" t="str">
            <v/>
          </cell>
        </row>
        <row r="7">
          <cell r="D7" t="str">
            <v/>
          </cell>
          <cell r="E7" t="str">
            <v>中井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>北</v>
          </cell>
          <cell r="M7" t="str">
            <v>中井</v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>北</v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>中井</v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>中井</v>
          </cell>
          <cell r="AH7" t="str">
            <v/>
          </cell>
        </row>
        <row r="8">
          <cell r="D8" t="str">
            <v/>
          </cell>
          <cell r="E8" t="str">
            <v>北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>中村映</v>
          </cell>
          <cell r="M8" t="str">
            <v>北</v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>中村映</v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>北</v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>北</v>
          </cell>
          <cell r="AH8" t="str">
            <v/>
          </cell>
        </row>
        <row r="9">
          <cell r="D9" t="str">
            <v/>
          </cell>
          <cell r="E9" t="str">
            <v>中村映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>平田真</v>
          </cell>
          <cell r="M9" t="str">
            <v>中村映</v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>平田真</v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>中村映</v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>中村映</v>
          </cell>
          <cell r="AH9" t="str">
            <v/>
          </cell>
        </row>
        <row r="10">
          <cell r="D10" t="str">
            <v/>
          </cell>
          <cell r="E10" t="str">
            <v>平田真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>大橋</v>
          </cell>
          <cell r="M10" t="str">
            <v>平田真</v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>山本</v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>平田真</v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>平田真</v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  <sheetName val="印刷表紙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44896</v>
          </cell>
          <cell r="E1">
            <v>44897</v>
          </cell>
          <cell r="F1">
            <v>44898</v>
          </cell>
          <cell r="G1">
            <v>44899</v>
          </cell>
          <cell r="H1">
            <v>44900</v>
          </cell>
          <cell r="I1">
            <v>44901</v>
          </cell>
          <cell r="J1">
            <v>44902</v>
          </cell>
          <cell r="K1">
            <v>44903</v>
          </cell>
          <cell r="L1">
            <v>44904</v>
          </cell>
          <cell r="M1">
            <v>44905</v>
          </cell>
          <cell r="N1">
            <v>44906</v>
          </cell>
          <cell r="O1">
            <v>44907</v>
          </cell>
          <cell r="P1">
            <v>44908</v>
          </cell>
          <cell r="Q1">
            <v>44909</v>
          </cell>
          <cell r="R1">
            <v>44910</v>
          </cell>
          <cell r="S1">
            <v>44911</v>
          </cell>
          <cell r="T1">
            <v>44912</v>
          </cell>
          <cell r="U1">
            <v>44913</v>
          </cell>
          <cell r="V1">
            <v>44914</v>
          </cell>
          <cell r="W1">
            <v>44915</v>
          </cell>
          <cell r="X1">
            <v>44916</v>
          </cell>
          <cell r="Y1">
            <v>44917</v>
          </cell>
          <cell r="Z1">
            <v>44918</v>
          </cell>
          <cell r="AA1">
            <v>44919</v>
          </cell>
          <cell r="AB1">
            <v>44920</v>
          </cell>
          <cell r="AC1">
            <v>44921</v>
          </cell>
          <cell r="AD1">
            <v>44922</v>
          </cell>
          <cell r="AE1">
            <v>44923</v>
          </cell>
          <cell r="AF1">
            <v>44924</v>
          </cell>
          <cell r="AG1">
            <v>44925</v>
          </cell>
          <cell r="AH1">
            <v>44926</v>
          </cell>
        </row>
        <row r="2">
          <cell r="D2">
            <v>44896</v>
          </cell>
          <cell r="E2">
            <v>44897</v>
          </cell>
          <cell r="F2">
            <v>44898</v>
          </cell>
          <cell r="G2">
            <v>44899</v>
          </cell>
          <cell r="H2">
            <v>44900</v>
          </cell>
          <cell r="I2">
            <v>44901</v>
          </cell>
          <cell r="J2">
            <v>44902</v>
          </cell>
          <cell r="K2">
            <v>44903</v>
          </cell>
          <cell r="L2">
            <v>44904</v>
          </cell>
          <cell r="M2">
            <v>44905</v>
          </cell>
          <cell r="N2">
            <v>44906</v>
          </cell>
          <cell r="O2">
            <v>44907</v>
          </cell>
          <cell r="P2">
            <v>44908</v>
          </cell>
          <cell r="Q2">
            <v>44909</v>
          </cell>
          <cell r="R2">
            <v>44910</v>
          </cell>
          <cell r="S2">
            <v>44911</v>
          </cell>
          <cell r="T2">
            <v>44912</v>
          </cell>
          <cell r="U2">
            <v>44913</v>
          </cell>
          <cell r="V2">
            <v>44914</v>
          </cell>
          <cell r="W2">
            <v>44915</v>
          </cell>
          <cell r="X2">
            <v>44916</v>
          </cell>
          <cell r="Y2">
            <v>44917</v>
          </cell>
          <cell r="Z2">
            <v>44918</v>
          </cell>
          <cell r="AA2">
            <v>44919</v>
          </cell>
          <cell r="AB2">
            <v>44920</v>
          </cell>
          <cell r="AC2">
            <v>44921</v>
          </cell>
          <cell r="AD2">
            <v>44922</v>
          </cell>
          <cell r="AE2">
            <v>44923</v>
          </cell>
          <cell r="AF2">
            <v>44924</v>
          </cell>
          <cell r="AG2">
            <v>44925</v>
          </cell>
          <cell r="AH2">
            <v>44926</v>
          </cell>
        </row>
        <row r="3">
          <cell r="D3" t="str">
            <v>龍野</v>
          </cell>
          <cell r="E3" t="str">
            <v>長田</v>
          </cell>
          <cell r="F3" t="str">
            <v>清水</v>
          </cell>
          <cell r="G3" t="str">
            <v>平田恵</v>
          </cell>
          <cell r="H3" t="str">
            <v>大橋</v>
          </cell>
          <cell r="I3" t="str">
            <v>佐藤恵</v>
          </cell>
          <cell r="J3" t="str">
            <v>庵</v>
          </cell>
          <cell r="K3" t="str">
            <v>西郡</v>
          </cell>
          <cell r="L3" t="str">
            <v>澤野</v>
          </cell>
          <cell r="M3" t="str">
            <v>平田恵</v>
          </cell>
          <cell r="N3" t="str">
            <v>長田</v>
          </cell>
          <cell r="O3" t="str">
            <v>佐藤恵</v>
          </cell>
          <cell r="P3" t="str">
            <v>薬司</v>
          </cell>
          <cell r="Q3" t="str">
            <v>加藤</v>
          </cell>
          <cell r="R3" t="str">
            <v>清水</v>
          </cell>
          <cell r="S3" t="str">
            <v>本田</v>
          </cell>
          <cell r="T3" t="str">
            <v>長田</v>
          </cell>
          <cell r="U3" t="str">
            <v>薬司</v>
          </cell>
          <cell r="V3" t="str">
            <v>加藤</v>
          </cell>
          <cell r="W3" t="str">
            <v>田村</v>
          </cell>
          <cell r="X3" t="str">
            <v>澤野</v>
          </cell>
          <cell r="Y3" t="str">
            <v>松木</v>
          </cell>
          <cell r="Z3" t="str">
            <v>龍野</v>
          </cell>
          <cell r="AA3" t="str">
            <v>山本</v>
          </cell>
          <cell r="AB3" t="str">
            <v>大橋</v>
          </cell>
          <cell r="AC3" t="str">
            <v>南</v>
          </cell>
          <cell r="AD3" t="str">
            <v>加藤</v>
          </cell>
          <cell r="AE3" t="str">
            <v>山下</v>
          </cell>
          <cell r="AF3" t="str">
            <v>山田</v>
          </cell>
          <cell r="AG3" t="str">
            <v>田村</v>
          </cell>
          <cell r="AH3" t="str">
            <v>大橋</v>
          </cell>
        </row>
        <row r="4">
          <cell r="D4" t="str">
            <v>西郡</v>
          </cell>
          <cell r="E4" t="str">
            <v>松木</v>
          </cell>
          <cell r="F4" t="str">
            <v>樫田</v>
          </cell>
          <cell r="G4" t="str">
            <v>田村</v>
          </cell>
          <cell r="H4" t="str">
            <v>山田</v>
          </cell>
          <cell r="I4" t="str">
            <v>龍野</v>
          </cell>
          <cell r="J4" t="str">
            <v>雨池</v>
          </cell>
          <cell r="K4" t="str">
            <v>諸田</v>
          </cell>
          <cell r="L4" t="str">
            <v>加藤</v>
          </cell>
          <cell r="M4" t="str">
            <v>南</v>
          </cell>
          <cell r="N4" t="str">
            <v>松木</v>
          </cell>
          <cell r="O4" t="str">
            <v>中村公</v>
          </cell>
          <cell r="P4" t="str">
            <v>袋</v>
          </cell>
          <cell r="Q4" t="str">
            <v>福知</v>
          </cell>
          <cell r="R4" t="str">
            <v>佐藤穂</v>
          </cell>
          <cell r="S4" t="str">
            <v>松木</v>
          </cell>
          <cell r="T4" t="str">
            <v>庵</v>
          </cell>
          <cell r="U4" t="str">
            <v>西郡</v>
          </cell>
          <cell r="V4" t="str">
            <v>雨池</v>
          </cell>
          <cell r="W4" t="str">
            <v>樫田</v>
          </cell>
          <cell r="X4" t="str">
            <v>佐藤恵</v>
          </cell>
          <cell r="Y4" t="str">
            <v>諸田</v>
          </cell>
          <cell r="Z4" t="str">
            <v>西郡</v>
          </cell>
          <cell r="AA4" t="str">
            <v>林</v>
          </cell>
          <cell r="AB4" t="str">
            <v>諸田</v>
          </cell>
          <cell r="AC4" t="str">
            <v>佐藤恵</v>
          </cell>
          <cell r="AD4" t="str">
            <v>佐藤穂</v>
          </cell>
          <cell r="AE4" t="str">
            <v>西郡</v>
          </cell>
          <cell r="AF4" t="str">
            <v>庵</v>
          </cell>
          <cell r="AG4" t="str">
            <v>本田</v>
          </cell>
          <cell r="AH4" t="str">
            <v>山本</v>
          </cell>
        </row>
      </sheetData>
      <sheetData sheetId="9">
        <row r="1">
          <cell r="D1">
            <v>44958</v>
          </cell>
          <cell r="E1">
            <v>44959</v>
          </cell>
          <cell r="F1">
            <v>44960</v>
          </cell>
          <cell r="G1">
            <v>44961</v>
          </cell>
          <cell r="H1">
            <v>44962</v>
          </cell>
          <cell r="I1">
            <v>44963</v>
          </cell>
          <cell r="J1">
            <v>44964</v>
          </cell>
          <cell r="K1">
            <v>44965</v>
          </cell>
          <cell r="L1">
            <v>44966</v>
          </cell>
          <cell r="M1">
            <v>44967</v>
          </cell>
          <cell r="N1">
            <v>44968</v>
          </cell>
          <cell r="O1">
            <v>44969</v>
          </cell>
          <cell r="P1">
            <v>44970</v>
          </cell>
          <cell r="Q1">
            <v>44971</v>
          </cell>
          <cell r="R1">
            <v>44972</v>
          </cell>
          <cell r="S1">
            <v>44973</v>
          </cell>
          <cell r="T1">
            <v>44974</v>
          </cell>
          <cell r="U1">
            <v>44975</v>
          </cell>
          <cell r="V1">
            <v>44976</v>
          </cell>
          <cell r="W1">
            <v>44977</v>
          </cell>
          <cell r="X1">
            <v>44978</v>
          </cell>
          <cell r="Y1">
            <v>44979</v>
          </cell>
          <cell r="Z1">
            <v>44980</v>
          </cell>
          <cell r="AA1">
            <v>44981</v>
          </cell>
          <cell r="AB1">
            <v>44982</v>
          </cell>
          <cell r="AC1">
            <v>44983</v>
          </cell>
          <cell r="AD1">
            <v>44984</v>
          </cell>
          <cell r="AE1">
            <v>44985</v>
          </cell>
          <cell r="AF1" t="str">
            <v/>
          </cell>
          <cell r="AG1" t="e">
            <v>#VALUE!</v>
          </cell>
          <cell r="AH1" t="e">
            <v>#VALUE!</v>
          </cell>
        </row>
        <row r="2">
          <cell r="D2">
            <v>44958</v>
          </cell>
          <cell r="E2">
            <v>44959</v>
          </cell>
          <cell r="F2">
            <v>44960</v>
          </cell>
          <cell r="G2">
            <v>44961</v>
          </cell>
          <cell r="H2">
            <v>44962</v>
          </cell>
          <cell r="I2">
            <v>44963</v>
          </cell>
          <cell r="J2">
            <v>44964</v>
          </cell>
          <cell r="K2">
            <v>44965</v>
          </cell>
          <cell r="L2">
            <v>44966</v>
          </cell>
          <cell r="M2">
            <v>44967</v>
          </cell>
          <cell r="N2">
            <v>44968</v>
          </cell>
          <cell r="O2">
            <v>44969</v>
          </cell>
          <cell r="P2">
            <v>44970</v>
          </cell>
          <cell r="Q2">
            <v>44971</v>
          </cell>
          <cell r="R2">
            <v>44972</v>
          </cell>
          <cell r="S2">
            <v>44973</v>
          </cell>
          <cell r="T2">
            <v>44974</v>
          </cell>
          <cell r="U2">
            <v>44975</v>
          </cell>
          <cell r="V2">
            <v>44976</v>
          </cell>
          <cell r="W2">
            <v>44977</v>
          </cell>
          <cell r="X2">
            <v>44978</v>
          </cell>
          <cell r="Y2">
            <v>44979</v>
          </cell>
          <cell r="Z2">
            <v>44980</v>
          </cell>
          <cell r="AA2">
            <v>44981</v>
          </cell>
          <cell r="AB2">
            <v>44982</v>
          </cell>
          <cell r="AC2">
            <v>44983</v>
          </cell>
          <cell r="AD2">
            <v>44984</v>
          </cell>
          <cell r="AE2">
            <v>44985</v>
          </cell>
          <cell r="AF2" t="str">
            <v/>
          </cell>
          <cell r="AG2" t="e">
            <v>#VALUE!</v>
          </cell>
          <cell r="AH2" t="e">
            <v>#VALUE!</v>
          </cell>
        </row>
        <row r="3">
          <cell r="D3" t="str">
            <v/>
          </cell>
          <cell r="E3" t="str">
            <v/>
          </cell>
          <cell r="F3" t="str">
            <v>福知</v>
          </cell>
          <cell r="G3" t="str">
            <v/>
          </cell>
          <cell r="H3" t="str">
            <v>山村</v>
          </cell>
          <cell r="I3" t="str">
            <v>大橋</v>
          </cell>
          <cell r="J3" t="str">
            <v>山田</v>
          </cell>
          <cell r="K3" t="str">
            <v>袋</v>
          </cell>
          <cell r="L3" t="str">
            <v>加藤</v>
          </cell>
          <cell r="M3" t="str">
            <v>中村公</v>
          </cell>
          <cell r="N3" t="str">
            <v>山村</v>
          </cell>
          <cell r="O3" t="str">
            <v>山村</v>
          </cell>
          <cell r="P3" t="str">
            <v>松木</v>
          </cell>
          <cell r="Q3" t="str">
            <v>山下</v>
          </cell>
          <cell r="R3" t="str">
            <v>林</v>
          </cell>
          <cell r="S3" t="str">
            <v>大橋</v>
          </cell>
          <cell r="T3" t="str">
            <v>龍野</v>
          </cell>
          <cell r="U3" t="str">
            <v/>
          </cell>
          <cell r="V3" t="str">
            <v>山村</v>
          </cell>
          <cell r="W3" t="str">
            <v>清水</v>
          </cell>
          <cell r="X3" t="str">
            <v>清水</v>
          </cell>
          <cell r="Y3" t="str">
            <v>龍野</v>
          </cell>
          <cell r="Z3" t="str">
            <v>山村</v>
          </cell>
          <cell r="AA3" t="str">
            <v>長田</v>
          </cell>
          <cell r="AB3" t="str">
            <v/>
          </cell>
          <cell r="AC3" t="str">
            <v>山村</v>
          </cell>
          <cell r="AD3" t="str">
            <v>林</v>
          </cell>
          <cell r="AE3" t="str">
            <v>大橋</v>
          </cell>
          <cell r="AF3" t="str">
            <v/>
          </cell>
          <cell r="AG3" t="str">
            <v/>
          </cell>
          <cell r="AH3" t="str">
            <v/>
          </cell>
        </row>
        <row r="4"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>山下</v>
          </cell>
          <cell r="I4" t="str">
            <v>清水</v>
          </cell>
          <cell r="J4" t="str">
            <v>佐藤恵</v>
          </cell>
          <cell r="K4" t="str">
            <v/>
          </cell>
          <cell r="L4" t="str">
            <v/>
          </cell>
          <cell r="M4" t="str">
            <v>雨池</v>
          </cell>
          <cell r="N4" t="str">
            <v>山下</v>
          </cell>
          <cell r="O4" t="str">
            <v>山下</v>
          </cell>
          <cell r="P4" t="str">
            <v>福知</v>
          </cell>
          <cell r="Q4" t="str">
            <v>平田恵</v>
          </cell>
          <cell r="R4" t="str">
            <v>西郡</v>
          </cell>
          <cell r="S4" t="str">
            <v>佐藤恵</v>
          </cell>
          <cell r="T4" t="str">
            <v/>
          </cell>
          <cell r="U4" t="str">
            <v/>
          </cell>
          <cell r="V4" t="str">
            <v>山下</v>
          </cell>
          <cell r="W4" t="str">
            <v>樫田</v>
          </cell>
          <cell r="X4" t="str">
            <v>山田</v>
          </cell>
          <cell r="Y4" t="str">
            <v>松木</v>
          </cell>
          <cell r="Z4" t="str">
            <v>山下</v>
          </cell>
          <cell r="AA4" t="str">
            <v>庵</v>
          </cell>
          <cell r="AB4" t="str">
            <v/>
          </cell>
          <cell r="AC4" t="str">
            <v>山下</v>
          </cell>
          <cell r="AD4" t="str">
            <v>西郡</v>
          </cell>
          <cell r="AE4" t="str">
            <v>澤野</v>
          </cell>
          <cell r="AF4" t="str">
            <v/>
          </cell>
          <cell r="AG4" t="str">
            <v/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>平田恵</v>
          </cell>
          <cell r="I5" t="str">
            <v>龍野</v>
          </cell>
          <cell r="J5" t="str">
            <v>雨池</v>
          </cell>
          <cell r="K5" t="str">
            <v/>
          </cell>
          <cell r="L5" t="str">
            <v/>
          </cell>
          <cell r="M5" t="str">
            <v/>
          </cell>
          <cell r="N5" t="str">
            <v>平田恵</v>
          </cell>
          <cell r="O5" t="str">
            <v>長田</v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>平田恵</v>
          </cell>
          <cell r="W5" t="str">
            <v/>
          </cell>
          <cell r="X5" t="str">
            <v>田村</v>
          </cell>
          <cell r="Y5" t="str">
            <v>雨池</v>
          </cell>
          <cell r="Z5" t="str">
            <v>平田恵</v>
          </cell>
          <cell r="AA5" t="str">
            <v/>
          </cell>
          <cell r="AB5" t="str">
            <v/>
          </cell>
          <cell r="AC5" t="str">
            <v>平田恵</v>
          </cell>
          <cell r="AD5" t="str">
            <v>樫田</v>
          </cell>
          <cell r="AE5" t="str">
            <v>福知</v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>長田</v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>長田</v>
          </cell>
          <cell r="O6" t="str">
            <v>中井</v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>長田</v>
          </cell>
          <cell r="W6" t="str">
            <v/>
          </cell>
          <cell r="X6" t="str">
            <v/>
          </cell>
          <cell r="Y6" t="str">
            <v/>
          </cell>
          <cell r="Z6" t="str">
            <v>中井</v>
          </cell>
          <cell r="AA6" t="str">
            <v/>
          </cell>
          <cell r="AB6" t="str">
            <v/>
          </cell>
          <cell r="AC6" t="str">
            <v>長田</v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>中井</v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>中井</v>
          </cell>
          <cell r="O7" t="str">
            <v>北</v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>中井</v>
          </cell>
          <cell r="W7" t="str">
            <v/>
          </cell>
          <cell r="X7" t="str">
            <v/>
          </cell>
          <cell r="Y7" t="str">
            <v/>
          </cell>
          <cell r="Z7" t="str">
            <v>北</v>
          </cell>
          <cell r="AA7" t="str">
            <v/>
          </cell>
          <cell r="AB7" t="str">
            <v/>
          </cell>
          <cell r="AC7" t="str">
            <v>中井</v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>北</v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>北</v>
          </cell>
          <cell r="O8" t="str">
            <v>中村映</v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>北</v>
          </cell>
          <cell r="W8" t="str">
            <v/>
          </cell>
          <cell r="X8" t="str">
            <v/>
          </cell>
          <cell r="Y8" t="str">
            <v/>
          </cell>
          <cell r="Z8" t="str">
            <v>中村映</v>
          </cell>
          <cell r="AA8" t="str">
            <v/>
          </cell>
          <cell r="AB8" t="str">
            <v/>
          </cell>
          <cell r="AC8" t="str">
            <v>北</v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>中村映</v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>中村映</v>
          </cell>
          <cell r="O9" t="str">
            <v>平田真</v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>中村映</v>
          </cell>
          <cell r="W9" t="str">
            <v/>
          </cell>
          <cell r="X9" t="str">
            <v/>
          </cell>
          <cell r="Y9" t="str">
            <v/>
          </cell>
          <cell r="Z9" t="str">
            <v>平田真</v>
          </cell>
          <cell r="AA9" t="str">
            <v/>
          </cell>
          <cell r="AB9" t="str">
            <v/>
          </cell>
          <cell r="AC9" t="str">
            <v>中村映</v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>平田真</v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>平田真</v>
          </cell>
          <cell r="O10" t="str">
            <v>山本</v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>平田真</v>
          </cell>
          <cell r="W10" t="str">
            <v/>
          </cell>
          <cell r="X10" t="str">
            <v/>
          </cell>
          <cell r="Y10" t="str">
            <v/>
          </cell>
          <cell r="Z10" t="str">
            <v>大橋</v>
          </cell>
          <cell r="AA10" t="str">
            <v/>
          </cell>
          <cell r="AB10" t="str">
            <v/>
          </cell>
          <cell r="AC10" t="str">
            <v>平田真</v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らいふクリニック"/>
      <sheetName val="印刷表紙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D1">
            <v>44958</v>
          </cell>
          <cell r="E1">
            <v>44959</v>
          </cell>
          <cell r="F1">
            <v>44960</v>
          </cell>
          <cell r="G1">
            <v>44961</v>
          </cell>
          <cell r="H1">
            <v>44962</v>
          </cell>
          <cell r="I1">
            <v>44963</v>
          </cell>
          <cell r="J1">
            <v>44964</v>
          </cell>
          <cell r="K1">
            <v>44965</v>
          </cell>
          <cell r="L1">
            <v>44966</v>
          </cell>
          <cell r="M1">
            <v>44967</v>
          </cell>
          <cell r="N1">
            <v>44968</v>
          </cell>
          <cell r="O1">
            <v>44969</v>
          </cell>
          <cell r="P1">
            <v>44970</v>
          </cell>
          <cell r="Q1">
            <v>44971</v>
          </cell>
          <cell r="R1">
            <v>44972</v>
          </cell>
          <cell r="S1">
            <v>44973</v>
          </cell>
          <cell r="T1">
            <v>44974</v>
          </cell>
          <cell r="U1">
            <v>44975</v>
          </cell>
          <cell r="V1">
            <v>44976</v>
          </cell>
          <cell r="W1">
            <v>44977</v>
          </cell>
          <cell r="X1">
            <v>44978</v>
          </cell>
          <cell r="Y1">
            <v>44979</v>
          </cell>
          <cell r="Z1">
            <v>44980</v>
          </cell>
          <cell r="AA1">
            <v>44981</v>
          </cell>
          <cell r="AB1">
            <v>44982</v>
          </cell>
          <cell r="AC1">
            <v>44983</v>
          </cell>
          <cell r="AD1">
            <v>44984</v>
          </cell>
          <cell r="AE1">
            <v>44985</v>
          </cell>
          <cell r="AF1" t="str">
            <v/>
          </cell>
          <cell r="AG1" t="e">
            <v>#VALUE!</v>
          </cell>
          <cell r="AH1" t="e">
            <v>#VALUE!</v>
          </cell>
        </row>
        <row r="2">
          <cell r="D2">
            <v>44958</v>
          </cell>
          <cell r="E2">
            <v>44959</v>
          </cell>
          <cell r="F2">
            <v>44960</v>
          </cell>
          <cell r="G2">
            <v>44961</v>
          </cell>
          <cell r="H2">
            <v>44962</v>
          </cell>
          <cell r="I2">
            <v>44963</v>
          </cell>
          <cell r="J2">
            <v>44964</v>
          </cell>
          <cell r="K2">
            <v>44965</v>
          </cell>
          <cell r="L2">
            <v>44966</v>
          </cell>
          <cell r="M2">
            <v>44967</v>
          </cell>
          <cell r="N2">
            <v>44968</v>
          </cell>
          <cell r="O2">
            <v>44969</v>
          </cell>
          <cell r="P2">
            <v>44970</v>
          </cell>
          <cell r="Q2">
            <v>44971</v>
          </cell>
          <cell r="R2">
            <v>44972</v>
          </cell>
          <cell r="S2">
            <v>44973</v>
          </cell>
          <cell r="T2">
            <v>44974</v>
          </cell>
          <cell r="U2">
            <v>44975</v>
          </cell>
          <cell r="V2">
            <v>44976</v>
          </cell>
          <cell r="W2">
            <v>44977</v>
          </cell>
          <cell r="X2">
            <v>44978</v>
          </cell>
          <cell r="Y2">
            <v>44979</v>
          </cell>
          <cell r="Z2">
            <v>44980</v>
          </cell>
          <cell r="AA2">
            <v>44981</v>
          </cell>
          <cell r="AB2">
            <v>44982</v>
          </cell>
          <cell r="AC2">
            <v>44983</v>
          </cell>
          <cell r="AD2">
            <v>44984</v>
          </cell>
          <cell r="AE2">
            <v>44985</v>
          </cell>
          <cell r="AF2" t="str">
            <v/>
          </cell>
          <cell r="AG2" t="e">
            <v>#VALUE!</v>
          </cell>
          <cell r="AH2" t="e">
            <v>#VALUE!</v>
          </cell>
        </row>
        <row r="3">
          <cell r="D3" t="str">
            <v>加藤</v>
          </cell>
          <cell r="E3" t="str">
            <v>松木</v>
          </cell>
          <cell r="F3" t="str">
            <v>平田恵</v>
          </cell>
          <cell r="G3" t="str">
            <v>山田</v>
          </cell>
          <cell r="H3" t="str">
            <v>大橋</v>
          </cell>
          <cell r="I3" t="str">
            <v>佐藤恵</v>
          </cell>
          <cell r="J3" t="str">
            <v>諸田</v>
          </cell>
          <cell r="K3" t="str">
            <v>南</v>
          </cell>
          <cell r="L3" t="str">
            <v>田村</v>
          </cell>
          <cell r="M3" t="str">
            <v>長田</v>
          </cell>
          <cell r="N3" t="str">
            <v>清水</v>
          </cell>
          <cell r="O3" t="str">
            <v>松木</v>
          </cell>
          <cell r="P3" t="str">
            <v>平田恵</v>
          </cell>
          <cell r="Q3" t="str">
            <v>薬司</v>
          </cell>
          <cell r="R3" t="str">
            <v>澤野</v>
          </cell>
          <cell r="S3" t="str">
            <v>山本</v>
          </cell>
          <cell r="T3" t="str">
            <v>佐藤穂</v>
          </cell>
          <cell r="U3" t="str">
            <v>山下</v>
          </cell>
          <cell r="V3" t="str">
            <v>清水</v>
          </cell>
          <cell r="W3" t="str">
            <v>山田</v>
          </cell>
          <cell r="X3" t="str">
            <v>南</v>
          </cell>
          <cell r="Y3" t="str">
            <v>大橋</v>
          </cell>
          <cell r="Z3" t="str">
            <v>長田</v>
          </cell>
          <cell r="AA3" t="str">
            <v>加藤</v>
          </cell>
          <cell r="AB3" t="str">
            <v>清水</v>
          </cell>
          <cell r="AC3" t="str">
            <v>林</v>
          </cell>
          <cell r="AD3" t="str">
            <v>大橋</v>
          </cell>
          <cell r="AE3" t="str">
            <v>山本</v>
          </cell>
          <cell r="AF3" t="str">
            <v/>
          </cell>
          <cell r="AG3" t="str">
            <v/>
          </cell>
          <cell r="AH3" t="str">
            <v/>
          </cell>
        </row>
        <row r="4">
          <cell r="D4" t="str">
            <v>薬司</v>
          </cell>
          <cell r="E4" t="str">
            <v>福知</v>
          </cell>
          <cell r="F4" t="str">
            <v>田村</v>
          </cell>
          <cell r="G4" t="str">
            <v>西郡</v>
          </cell>
          <cell r="H4" t="str">
            <v>龍野</v>
          </cell>
          <cell r="I4" t="str">
            <v>雨池</v>
          </cell>
          <cell r="J4" t="str">
            <v>袋</v>
          </cell>
          <cell r="K4" t="str">
            <v>加藤</v>
          </cell>
          <cell r="L4" t="str">
            <v>中村公</v>
          </cell>
          <cell r="M4" t="str">
            <v>庵</v>
          </cell>
          <cell r="N4" t="str">
            <v>林</v>
          </cell>
          <cell r="O4" t="str">
            <v>福知</v>
          </cell>
          <cell r="P4" t="str">
            <v>大橋</v>
          </cell>
          <cell r="Q4" t="str">
            <v>西郡</v>
          </cell>
          <cell r="R4" t="str">
            <v>加藤</v>
          </cell>
          <cell r="S4" t="str">
            <v>庵</v>
          </cell>
          <cell r="T4" t="str">
            <v>松木</v>
          </cell>
          <cell r="U4" t="str">
            <v>佐藤恵</v>
          </cell>
          <cell r="V4" t="str">
            <v>樫田</v>
          </cell>
          <cell r="W4" t="str">
            <v>田村</v>
          </cell>
          <cell r="X4" t="str">
            <v>齊藤</v>
          </cell>
          <cell r="Y4" t="str">
            <v>諸田</v>
          </cell>
          <cell r="Z4" t="str">
            <v>庵</v>
          </cell>
          <cell r="AA4" t="str">
            <v>雨池</v>
          </cell>
          <cell r="AB4" t="str">
            <v>龍野</v>
          </cell>
          <cell r="AC4" t="str">
            <v>西郡</v>
          </cell>
          <cell r="AD4" t="str">
            <v>澤野</v>
          </cell>
          <cell r="AE4" t="str">
            <v>佐藤穂</v>
          </cell>
          <cell r="AF4" t="str">
            <v/>
          </cell>
          <cell r="AG4" t="str">
            <v/>
          </cell>
          <cell r="AH4" t="str">
            <v/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印刷用２"/>
      <sheetName val="らいふクリニック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D1">
            <v>44986</v>
          </cell>
          <cell r="E1">
            <v>44987</v>
          </cell>
          <cell r="F1">
            <v>44988</v>
          </cell>
          <cell r="G1">
            <v>44989</v>
          </cell>
          <cell r="H1">
            <v>44990</v>
          </cell>
          <cell r="I1">
            <v>44991</v>
          </cell>
          <cell r="J1">
            <v>44992</v>
          </cell>
          <cell r="K1">
            <v>44993</v>
          </cell>
          <cell r="L1">
            <v>44994</v>
          </cell>
          <cell r="M1">
            <v>44995</v>
          </cell>
          <cell r="N1">
            <v>44996</v>
          </cell>
          <cell r="O1">
            <v>44997</v>
          </cell>
          <cell r="P1">
            <v>44998</v>
          </cell>
          <cell r="Q1">
            <v>44999</v>
          </cell>
          <cell r="R1">
            <v>45000</v>
          </cell>
          <cell r="S1">
            <v>45001</v>
          </cell>
          <cell r="T1">
            <v>45002</v>
          </cell>
          <cell r="U1">
            <v>45003</v>
          </cell>
          <cell r="V1">
            <v>45004</v>
          </cell>
          <cell r="W1">
            <v>45005</v>
          </cell>
          <cell r="X1">
            <v>45006</v>
          </cell>
          <cell r="Y1">
            <v>45007</v>
          </cell>
          <cell r="Z1">
            <v>45008</v>
          </cell>
          <cell r="AA1">
            <v>45009</v>
          </cell>
          <cell r="AB1">
            <v>45010</v>
          </cell>
          <cell r="AC1">
            <v>45011</v>
          </cell>
          <cell r="AD1">
            <v>45012</v>
          </cell>
          <cell r="AE1">
            <v>45013</v>
          </cell>
          <cell r="AF1">
            <v>45014</v>
          </cell>
          <cell r="AG1">
            <v>45015</v>
          </cell>
          <cell r="AH1">
            <v>45016</v>
          </cell>
        </row>
        <row r="2">
          <cell r="D2">
            <v>44986</v>
          </cell>
          <cell r="E2">
            <v>44987</v>
          </cell>
          <cell r="F2">
            <v>44988</v>
          </cell>
          <cell r="G2">
            <v>44989</v>
          </cell>
          <cell r="H2">
            <v>44990</v>
          </cell>
          <cell r="I2">
            <v>44991</v>
          </cell>
          <cell r="J2">
            <v>44992</v>
          </cell>
          <cell r="K2">
            <v>44993</v>
          </cell>
          <cell r="L2">
            <v>44994</v>
          </cell>
          <cell r="M2">
            <v>44995</v>
          </cell>
          <cell r="N2">
            <v>44996</v>
          </cell>
          <cell r="O2">
            <v>44997</v>
          </cell>
          <cell r="P2">
            <v>44998</v>
          </cell>
          <cell r="Q2">
            <v>44999</v>
          </cell>
          <cell r="R2">
            <v>45000</v>
          </cell>
          <cell r="S2">
            <v>45001</v>
          </cell>
          <cell r="T2">
            <v>45002</v>
          </cell>
          <cell r="U2">
            <v>45003</v>
          </cell>
          <cell r="V2">
            <v>45004</v>
          </cell>
          <cell r="W2">
            <v>45005</v>
          </cell>
          <cell r="X2">
            <v>45006</v>
          </cell>
          <cell r="Y2">
            <v>45007</v>
          </cell>
          <cell r="Z2">
            <v>45008</v>
          </cell>
          <cell r="AA2">
            <v>45009</v>
          </cell>
          <cell r="AB2">
            <v>45010</v>
          </cell>
          <cell r="AC2">
            <v>45011</v>
          </cell>
          <cell r="AD2">
            <v>45012</v>
          </cell>
          <cell r="AE2">
            <v>45013</v>
          </cell>
          <cell r="AF2">
            <v>45014</v>
          </cell>
          <cell r="AG2">
            <v>45015</v>
          </cell>
          <cell r="AH2">
            <v>45016</v>
          </cell>
        </row>
        <row r="3">
          <cell r="D3" t="str">
            <v>佐藤恵</v>
          </cell>
          <cell r="E3" t="str">
            <v>松木</v>
          </cell>
          <cell r="F3" t="str">
            <v>長田</v>
          </cell>
          <cell r="G3" t="str">
            <v>平田恵</v>
          </cell>
          <cell r="H3" t="str">
            <v>大橋</v>
          </cell>
          <cell r="I3" t="str">
            <v>南</v>
          </cell>
          <cell r="J3" t="str">
            <v>佐藤恵</v>
          </cell>
          <cell r="K3" t="str">
            <v>齊藤</v>
          </cell>
          <cell r="L3" t="str">
            <v>西郡</v>
          </cell>
          <cell r="M3" t="str">
            <v>林</v>
          </cell>
          <cell r="N3" t="str">
            <v>庵</v>
          </cell>
          <cell r="O3" t="str">
            <v>佐藤恵</v>
          </cell>
          <cell r="P3" t="str">
            <v>清水</v>
          </cell>
          <cell r="Q3" t="str">
            <v>大橋</v>
          </cell>
          <cell r="R3" t="str">
            <v>田村</v>
          </cell>
          <cell r="S3" t="str">
            <v>澤野</v>
          </cell>
          <cell r="T3" t="str">
            <v>平田恵</v>
          </cell>
          <cell r="U3" t="str">
            <v>佐藤穂</v>
          </cell>
          <cell r="V3" t="str">
            <v>清水</v>
          </cell>
          <cell r="W3" t="str">
            <v>山下</v>
          </cell>
          <cell r="X3" t="str">
            <v>諸田</v>
          </cell>
          <cell r="Y3" t="str">
            <v>佐藤恵</v>
          </cell>
          <cell r="Z3" t="str">
            <v>大橋</v>
          </cell>
          <cell r="AA3" t="str">
            <v>南</v>
          </cell>
          <cell r="AB3" t="str">
            <v>長田</v>
          </cell>
          <cell r="AC3" t="str">
            <v>山田</v>
          </cell>
          <cell r="AD3" t="str">
            <v>西郡</v>
          </cell>
          <cell r="AE3" t="str">
            <v>大橋</v>
          </cell>
          <cell r="AF3" t="str">
            <v>薬司</v>
          </cell>
          <cell r="AG3" t="str">
            <v>清水</v>
          </cell>
          <cell r="AH3" t="str">
            <v>山本</v>
          </cell>
        </row>
        <row r="4">
          <cell r="D4" t="str">
            <v>薬司</v>
          </cell>
          <cell r="E4" t="str">
            <v>中村公</v>
          </cell>
          <cell r="F4" t="str">
            <v>庵</v>
          </cell>
          <cell r="G4" t="str">
            <v>西郡</v>
          </cell>
          <cell r="H4" t="str">
            <v>澤野</v>
          </cell>
          <cell r="I4" t="str">
            <v>田村</v>
          </cell>
          <cell r="J4" t="str">
            <v>佐藤穂</v>
          </cell>
          <cell r="K4" t="str">
            <v>加藤</v>
          </cell>
          <cell r="L4" t="str">
            <v>諸田</v>
          </cell>
          <cell r="M4" t="str">
            <v>松木</v>
          </cell>
          <cell r="N4" t="str">
            <v>樫田</v>
          </cell>
          <cell r="O4" t="str">
            <v>中村公</v>
          </cell>
          <cell r="P4" t="str">
            <v>雨池</v>
          </cell>
          <cell r="Q4" t="str">
            <v>山本</v>
          </cell>
          <cell r="R4" t="str">
            <v>薬司</v>
          </cell>
          <cell r="S4" t="str">
            <v>加藤</v>
          </cell>
          <cell r="T4" t="str">
            <v>庵</v>
          </cell>
          <cell r="U4" t="str">
            <v>西郡</v>
          </cell>
          <cell r="V4" t="str">
            <v>福知</v>
          </cell>
          <cell r="W4" t="str">
            <v>松木</v>
          </cell>
          <cell r="X4" t="str">
            <v>中村公</v>
          </cell>
          <cell r="Y4" t="str">
            <v>袋</v>
          </cell>
          <cell r="Z4" t="str">
            <v>佐藤穂</v>
          </cell>
          <cell r="AA4" t="str">
            <v>加藤</v>
          </cell>
          <cell r="AB4" t="str">
            <v>庵</v>
          </cell>
          <cell r="AC4" t="str">
            <v>田村</v>
          </cell>
          <cell r="AD4" t="str">
            <v>諸田</v>
          </cell>
          <cell r="AE4" t="str">
            <v>袋</v>
          </cell>
          <cell r="AF4" t="str">
            <v>松木</v>
          </cell>
          <cell r="AG4" t="str">
            <v>林</v>
          </cell>
          <cell r="AH4" t="str">
            <v>加藤</v>
          </cell>
        </row>
      </sheetData>
      <sheetData sheetId="9" refreshError="1">
        <row r="1">
          <cell r="D1">
            <v>45017</v>
          </cell>
          <cell r="E1">
            <v>45018</v>
          </cell>
          <cell r="F1">
            <v>45019</v>
          </cell>
          <cell r="G1">
            <v>45020</v>
          </cell>
          <cell r="H1">
            <v>45021</v>
          </cell>
          <cell r="I1">
            <v>45022</v>
          </cell>
          <cell r="J1">
            <v>45023</v>
          </cell>
          <cell r="K1">
            <v>45024</v>
          </cell>
          <cell r="L1">
            <v>45025</v>
          </cell>
          <cell r="M1">
            <v>45026</v>
          </cell>
          <cell r="N1">
            <v>45027</v>
          </cell>
          <cell r="O1">
            <v>45028</v>
          </cell>
          <cell r="P1">
            <v>45029</v>
          </cell>
          <cell r="Q1">
            <v>45030</v>
          </cell>
          <cell r="R1">
            <v>45031</v>
          </cell>
          <cell r="S1">
            <v>45032</v>
          </cell>
          <cell r="T1">
            <v>45033</v>
          </cell>
          <cell r="U1">
            <v>45034</v>
          </cell>
          <cell r="V1">
            <v>45035</v>
          </cell>
          <cell r="W1">
            <v>45036</v>
          </cell>
          <cell r="X1">
            <v>45037</v>
          </cell>
          <cell r="Y1">
            <v>45038</v>
          </cell>
          <cell r="Z1">
            <v>45039</v>
          </cell>
          <cell r="AA1">
            <v>45040</v>
          </cell>
          <cell r="AB1">
            <v>45041</v>
          </cell>
          <cell r="AC1">
            <v>45042</v>
          </cell>
          <cell r="AD1">
            <v>45043</v>
          </cell>
          <cell r="AE1">
            <v>45044</v>
          </cell>
          <cell r="AF1">
            <v>45045</v>
          </cell>
          <cell r="AG1">
            <v>45046</v>
          </cell>
          <cell r="AH1" t="str">
            <v/>
          </cell>
        </row>
        <row r="2">
          <cell r="D2">
            <v>45017</v>
          </cell>
          <cell r="E2">
            <v>45018</v>
          </cell>
          <cell r="F2">
            <v>45019</v>
          </cell>
          <cell r="G2">
            <v>45020</v>
          </cell>
          <cell r="H2">
            <v>45021</v>
          </cell>
          <cell r="I2">
            <v>45022</v>
          </cell>
          <cell r="J2">
            <v>45023</v>
          </cell>
          <cell r="K2">
            <v>45024</v>
          </cell>
          <cell r="L2">
            <v>45025</v>
          </cell>
          <cell r="M2">
            <v>45026</v>
          </cell>
          <cell r="N2">
            <v>45027</v>
          </cell>
          <cell r="O2">
            <v>45028</v>
          </cell>
          <cell r="P2">
            <v>45029</v>
          </cell>
          <cell r="Q2">
            <v>45030</v>
          </cell>
          <cell r="R2">
            <v>45031</v>
          </cell>
          <cell r="S2">
            <v>45032</v>
          </cell>
          <cell r="T2">
            <v>45033</v>
          </cell>
          <cell r="U2">
            <v>45034</v>
          </cell>
          <cell r="V2">
            <v>45035</v>
          </cell>
          <cell r="W2">
            <v>45036</v>
          </cell>
          <cell r="X2">
            <v>45037</v>
          </cell>
          <cell r="Y2">
            <v>45038</v>
          </cell>
          <cell r="Z2">
            <v>45039</v>
          </cell>
          <cell r="AA2">
            <v>45040</v>
          </cell>
          <cell r="AB2">
            <v>45041</v>
          </cell>
          <cell r="AC2">
            <v>45042</v>
          </cell>
          <cell r="AD2">
            <v>45043</v>
          </cell>
          <cell r="AE2">
            <v>45044</v>
          </cell>
          <cell r="AF2">
            <v>45045</v>
          </cell>
          <cell r="AG2">
            <v>45046</v>
          </cell>
          <cell r="AH2" t="str">
            <v/>
          </cell>
        </row>
        <row r="3">
          <cell r="D3" t="str">
            <v/>
          </cell>
          <cell r="E3" t="str">
            <v>山村</v>
          </cell>
          <cell r="F3" t="str">
            <v>清水和</v>
          </cell>
          <cell r="G3" t="str">
            <v>南</v>
          </cell>
          <cell r="H3" t="str">
            <v>平田恵</v>
          </cell>
          <cell r="I3" t="str">
            <v>加藤</v>
          </cell>
          <cell r="J3" t="str">
            <v>佐藤恵</v>
          </cell>
          <cell r="K3" t="str">
            <v/>
          </cell>
          <cell r="L3" t="str">
            <v>山村</v>
          </cell>
          <cell r="M3" t="str">
            <v>田村</v>
          </cell>
          <cell r="N3" t="str">
            <v>加藤</v>
          </cell>
          <cell r="O3" t="str">
            <v>諸田</v>
          </cell>
          <cell r="P3" t="str">
            <v>大橋</v>
          </cell>
          <cell r="Q3" t="str">
            <v>長田</v>
          </cell>
          <cell r="R3" t="str">
            <v/>
          </cell>
          <cell r="S3" t="str">
            <v>山村</v>
          </cell>
          <cell r="T3" t="str">
            <v>大橋</v>
          </cell>
          <cell r="U3" t="str">
            <v>林</v>
          </cell>
          <cell r="V3" t="str">
            <v>佐藤恵</v>
          </cell>
          <cell r="W3" t="str">
            <v>諸田</v>
          </cell>
          <cell r="X3" t="str">
            <v>大橋</v>
          </cell>
          <cell r="Y3" t="str">
            <v/>
          </cell>
          <cell r="Z3" t="str">
            <v>山村</v>
          </cell>
          <cell r="AA3" t="str">
            <v>佐藤恵</v>
          </cell>
          <cell r="AB3" t="str">
            <v>大橋</v>
          </cell>
          <cell r="AC3" t="str">
            <v>長田</v>
          </cell>
          <cell r="AD3" t="str">
            <v>松木</v>
          </cell>
          <cell r="AE3" t="str">
            <v>山下</v>
          </cell>
          <cell r="AF3" t="str">
            <v>山村</v>
          </cell>
          <cell r="AG3" t="str">
            <v>山村</v>
          </cell>
          <cell r="AH3" t="str">
            <v/>
          </cell>
        </row>
        <row r="4">
          <cell r="D4" t="str">
            <v/>
          </cell>
          <cell r="E4" t="str">
            <v>山下</v>
          </cell>
          <cell r="F4" t="str">
            <v>福知</v>
          </cell>
          <cell r="G4" t="str">
            <v>袋</v>
          </cell>
          <cell r="H4" t="str">
            <v/>
          </cell>
          <cell r="I4" t="str">
            <v>雨池</v>
          </cell>
          <cell r="J4" t="str">
            <v/>
          </cell>
          <cell r="K4" t="str">
            <v/>
          </cell>
          <cell r="L4" t="str">
            <v>山下</v>
          </cell>
          <cell r="M4" t="str">
            <v>中村公</v>
          </cell>
          <cell r="N4" t="str">
            <v>樫田</v>
          </cell>
          <cell r="O4" t="str">
            <v/>
          </cell>
          <cell r="P4" t="str">
            <v>薬司</v>
          </cell>
          <cell r="Q4" t="str">
            <v/>
          </cell>
          <cell r="R4" t="str">
            <v/>
          </cell>
          <cell r="S4" t="str">
            <v>山下</v>
          </cell>
          <cell r="T4" t="str">
            <v>雨池</v>
          </cell>
          <cell r="U4" t="str">
            <v>西郡</v>
          </cell>
          <cell r="V4" t="str">
            <v>佐藤穂</v>
          </cell>
          <cell r="W4" t="str">
            <v/>
          </cell>
          <cell r="X4" t="str">
            <v/>
          </cell>
          <cell r="Y4" t="str">
            <v/>
          </cell>
          <cell r="Z4" t="str">
            <v>山下</v>
          </cell>
          <cell r="AA4" t="str">
            <v>薬司</v>
          </cell>
          <cell r="AB4" t="str">
            <v>澤野</v>
          </cell>
          <cell r="AC4" t="str">
            <v>樫田</v>
          </cell>
          <cell r="AD4" t="str">
            <v>中村公</v>
          </cell>
          <cell r="AE4" t="str">
            <v>平田恵</v>
          </cell>
          <cell r="AF4" t="str">
            <v>山下</v>
          </cell>
          <cell r="AG4" t="str">
            <v>長田</v>
          </cell>
          <cell r="AH4" t="str">
            <v/>
          </cell>
        </row>
        <row r="5">
          <cell r="D5" t="str">
            <v/>
          </cell>
          <cell r="E5" t="str">
            <v>平田恵</v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>平田恵</v>
          </cell>
          <cell r="M5" t="str">
            <v/>
          </cell>
          <cell r="N5" t="str">
            <v/>
          </cell>
          <cell r="O5" t="str">
            <v/>
          </cell>
          <cell r="P5" t="str">
            <v>松木</v>
          </cell>
          <cell r="Q5" t="str">
            <v/>
          </cell>
          <cell r="R5" t="str">
            <v/>
          </cell>
          <cell r="S5" t="str">
            <v>平田恵</v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>平田恵</v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>中井</v>
          </cell>
          <cell r="AG5" t="str">
            <v>中井</v>
          </cell>
          <cell r="AH5" t="str">
            <v/>
          </cell>
        </row>
        <row r="6">
          <cell r="D6" t="str">
            <v/>
          </cell>
          <cell r="E6" t="str">
            <v>長田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>長田</v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>長田</v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>長田</v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>北</v>
          </cell>
          <cell r="AG6" t="str">
            <v>北</v>
          </cell>
          <cell r="AH6" t="str">
            <v/>
          </cell>
        </row>
        <row r="7">
          <cell r="D7" t="str">
            <v/>
          </cell>
          <cell r="E7" t="str">
            <v>中井</v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>中井</v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>中井</v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>中井</v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>中村映</v>
          </cell>
          <cell r="AG7" t="str">
            <v>中村映</v>
          </cell>
          <cell r="AH7" t="str">
            <v/>
          </cell>
        </row>
        <row r="8">
          <cell r="D8" t="str">
            <v/>
          </cell>
          <cell r="E8" t="str">
            <v>北</v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>北</v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>北</v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>北</v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>平田真</v>
          </cell>
          <cell r="AG8" t="str">
            <v>平田真</v>
          </cell>
          <cell r="AH8" t="str">
            <v/>
          </cell>
        </row>
        <row r="9">
          <cell r="D9" t="str">
            <v/>
          </cell>
          <cell r="E9" t="str">
            <v>中村映</v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>中村映</v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>中村映</v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>中村映</v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>山本</v>
          </cell>
          <cell r="AG9" t="str">
            <v>山本</v>
          </cell>
          <cell r="AH9" t="str">
            <v/>
          </cell>
        </row>
        <row r="10">
          <cell r="D10" t="str">
            <v/>
          </cell>
          <cell r="E10" t="str">
            <v>平田真</v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>平田真</v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>平田真</v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>平田真</v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>南</v>
          </cell>
          <cell r="AG10" t="str">
            <v>南</v>
          </cell>
          <cell r="AH10" t="str">
            <v/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印刷用2"/>
      <sheetName val="らいふクリニック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D1">
            <v>45078</v>
          </cell>
          <cell r="E1">
            <v>45079</v>
          </cell>
          <cell r="F1">
            <v>45080</v>
          </cell>
          <cell r="G1">
            <v>45081</v>
          </cell>
          <cell r="H1">
            <v>45082</v>
          </cell>
          <cell r="I1">
            <v>45083</v>
          </cell>
          <cell r="J1">
            <v>45084</v>
          </cell>
          <cell r="K1">
            <v>45085</v>
          </cell>
          <cell r="L1">
            <v>45086</v>
          </cell>
          <cell r="M1">
            <v>45087</v>
          </cell>
          <cell r="N1">
            <v>45088</v>
          </cell>
          <cell r="O1">
            <v>45089</v>
          </cell>
          <cell r="P1">
            <v>45090</v>
          </cell>
          <cell r="Q1">
            <v>45091</v>
          </cell>
          <cell r="R1">
            <v>45092</v>
          </cell>
          <cell r="S1">
            <v>45093</v>
          </cell>
          <cell r="T1">
            <v>45094</v>
          </cell>
          <cell r="U1">
            <v>45095</v>
          </cell>
          <cell r="V1">
            <v>45096</v>
          </cell>
          <cell r="W1">
            <v>45097</v>
          </cell>
          <cell r="X1">
            <v>45098</v>
          </cell>
          <cell r="Y1">
            <v>45099</v>
          </cell>
          <cell r="Z1">
            <v>45100</v>
          </cell>
          <cell r="AA1">
            <v>45101</v>
          </cell>
          <cell r="AB1">
            <v>45102</v>
          </cell>
          <cell r="AC1">
            <v>45103</v>
          </cell>
          <cell r="AD1">
            <v>45104</v>
          </cell>
          <cell r="AE1">
            <v>45105</v>
          </cell>
          <cell r="AF1">
            <v>45106</v>
          </cell>
          <cell r="AG1">
            <v>45107</v>
          </cell>
          <cell r="AH1" t="str">
            <v/>
          </cell>
        </row>
        <row r="2">
          <cell r="D2">
            <v>45078</v>
          </cell>
          <cell r="E2">
            <v>45079</v>
          </cell>
          <cell r="F2">
            <v>45080</v>
          </cell>
          <cell r="G2">
            <v>45081</v>
          </cell>
          <cell r="H2">
            <v>45082</v>
          </cell>
          <cell r="I2">
            <v>45083</v>
          </cell>
          <cell r="J2">
            <v>45084</v>
          </cell>
          <cell r="K2">
            <v>45085</v>
          </cell>
          <cell r="L2">
            <v>45086</v>
          </cell>
          <cell r="M2">
            <v>45087</v>
          </cell>
          <cell r="N2">
            <v>45088</v>
          </cell>
          <cell r="O2">
            <v>45089</v>
          </cell>
          <cell r="P2">
            <v>45090</v>
          </cell>
          <cell r="Q2">
            <v>45091</v>
          </cell>
          <cell r="R2">
            <v>45092</v>
          </cell>
          <cell r="S2">
            <v>45093</v>
          </cell>
          <cell r="T2">
            <v>45094</v>
          </cell>
          <cell r="U2">
            <v>45095</v>
          </cell>
          <cell r="V2">
            <v>45096</v>
          </cell>
          <cell r="W2">
            <v>45097</v>
          </cell>
          <cell r="X2">
            <v>45098</v>
          </cell>
          <cell r="Y2">
            <v>45099</v>
          </cell>
          <cell r="Z2">
            <v>45100</v>
          </cell>
          <cell r="AA2">
            <v>45101</v>
          </cell>
          <cell r="AB2">
            <v>45102</v>
          </cell>
          <cell r="AC2">
            <v>45103</v>
          </cell>
          <cell r="AD2">
            <v>45104</v>
          </cell>
          <cell r="AE2">
            <v>45105</v>
          </cell>
          <cell r="AF2">
            <v>45106</v>
          </cell>
          <cell r="AG2">
            <v>45107</v>
          </cell>
          <cell r="AH2" t="str">
            <v/>
          </cell>
        </row>
        <row r="3">
          <cell r="D3" t="str">
            <v>西郡</v>
          </cell>
          <cell r="E3" t="str">
            <v>佐藤恵</v>
          </cell>
          <cell r="F3" t="str">
            <v>長田</v>
          </cell>
          <cell r="G3" t="str">
            <v>林</v>
          </cell>
          <cell r="H3" t="str">
            <v>清水</v>
          </cell>
          <cell r="I3" t="str">
            <v>大橋</v>
          </cell>
          <cell r="J3" t="str">
            <v>山本</v>
          </cell>
          <cell r="K3" t="str">
            <v>薬司</v>
          </cell>
          <cell r="L3" t="str">
            <v>庵</v>
          </cell>
          <cell r="M3" t="str">
            <v>平田恵</v>
          </cell>
          <cell r="N3" t="str">
            <v>大橋</v>
          </cell>
          <cell r="O3" t="str">
            <v>南</v>
          </cell>
          <cell r="P3" t="str">
            <v>田村</v>
          </cell>
          <cell r="Q3" t="str">
            <v>山下</v>
          </cell>
          <cell r="R3" t="str">
            <v>山田</v>
          </cell>
          <cell r="S3" t="str">
            <v>林</v>
          </cell>
          <cell r="T3" t="str">
            <v>長田</v>
          </cell>
          <cell r="U3" t="str">
            <v>加藤</v>
          </cell>
          <cell r="V3" t="str">
            <v>大橋</v>
          </cell>
          <cell r="W3" t="str">
            <v>西郡</v>
          </cell>
          <cell r="X3" t="str">
            <v>庵</v>
          </cell>
          <cell r="Y3" t="str">
            <v>田村</v>
          </cell>
          <cell r="Z3" t="str">
            <v>南</v>
          </cell>
          <cell r="AA3" t="str">
            <v>平田恵</v>
          </cell>
          <cell r="AB3" t="str">
            <v>清水</v>
          </cell>
          <cell r="AC3" t="str">
            <v>中村公</v>
          </cell>
          <cell r="AD3" t="str">
            <v>澤野</v>
          </cell>
          <cell r="AE3" t="str">
            <v>山本</v>
          </cell>
          <cell r="AF3" t="str">
            <v>南</v>
          </cell>
          <cell r="AG3" t="str">
            <v>大橋</v>
          </cell>
          <cell r="AH3" t="str">
            <v/>
          </cell>
        </row>
        <row r="4">
          <cell r="D4" t="str">
            <v>樫田</v>
          </cell>
          <cell r="E4" t="str">
            <v>諸田</v>
          </cell>
          <cell r="F4" t="str">
            <v>松木</v>
          </cell>
          <cell r="G4" t="str">
            <v>田村</v>
          </cell>
          <cell r="H4" t="str">
            <v>福知</v>
          </cell>
          <cell r="I4" t="str">
            <v>雨池</v>
          </cell>
          <cell r="J4" t="str">
            <v>袋</v>
          </cell>
          <cell r="K4" t="str">
            <v>松木</v>
          </cell>
          <cell r="L4" t="str">
            <v>加藤</v>
          </cell>
          <cell r="M4" t="str">
            <v>佐藤恵</v>
          </cell>
          <cell r="N4" t="str">
            <v>樫田</v>
          </cell>
          <cell r="O4" t="str">
            <v>西郡</v>
          </cell>
          <cell r="P4" t="str">
            <v>佐藤穂</v>
          </cell>
          <cell r="Q4" t="str">
            <v>清水</v>
          </cell>
          <cell r="R4" t="str">
            <v>袋</v>
          </cell>
          <cell r="S4" t="str">
            <v>庵</v>
          </cell>
          <cell r="T4" t="str">
            <v>松木</v>
          </cell>
          <cell r="U4" t="str">
            <v>薬司</v>
          </cell>
          <cell r="V4" t="str">
            <v>澤野</v>
          </cell>
          <cell r="W4" t="str">
            <v>中村公</v>
          </cell>
          <cell r="X4" t="str">
            <v>雨池</v>
          </cell>
          <cell r="Y4" t="str">
            <v>佐藤穂</v>
          </cell>
          <cell r="Z4" t="str">
            <v>樫田</v>
          </cell>
          <cell r="AA4" t="str">
            <v>佐藤恵</v>
          </cell>
          <cell r="AB4" t="str">
            <v>諸田</v>
          </cell>
          <cell r="AC4" t="str">
            <v>袋</v>
          </cell>
          <cell r="AD4" t="str">
            <v>加藤</v>
          </cell>
          <cell r="AE4" t="str">
            <v>松木</v>
          </cell>
          <cell r="AF4" t="str">
            <v>西郡</v>
          </cell>
          <cell r="AG4" t="str">
            <v>山田</v>
          </cell>
          <cell r="AH4" t="str">
            <v/>
          </cell>
        </row>
      </sheetData>
      <sheetData sheetId="9" refreshError="1">
        <row r="1">
          <cell r="D1">
            <v>45047</v>
          </cell>
          <cell r="E1">
            <v>45048</v>
          </cell>
          <cell r="F1">
            <v>45049</v>
          </cell>
          <cell r="G1">
            <v>45050</v>
          </cell>
          <cell r="H1">
            <v>45051</v>
          </cell>
          <cell r="I1">
            <v>45052</v>
          </cell>
          <cell r="J1">
            <v>45053</v>
          </cell>
          <cell r="K1">
            <v>45054</v>
          </cell>
          <cell r="L1">
            <v>45055</v>
          </cell>
          <cell r="M1">
            <v>45056</v>
          </cell>
          <cell r="N1">
            <v>45057</v>
          </cell>
          <cell r="O1">
            <v>45058</v>
          </cell>
          <cell r="P1">
            <v>45059</v>
          </cell>
          <cell r="Q1">
            <v>45060</v>
          </cell>
          <cell r="R1">
            <v>45061</v>
          </cell>
          <cell r="S1">
            <v>45062</v>
          </cell>
          <cell r="T1">
            <v>45063</v>
          </cell>
          <cell r="U1">
            <v>45064</v>
          </cell>
          <cell r="V1">
            <v>45065</v>
          </cell>
          <cell r="W1">
            <v>45066</v>
          </cell>
          <cell r="X1">
            <v>45067</v>
          </cell>
          <cell r="Y1">
            <v>45068</v>
          </cell>
          <cell r="Z1">
            <v>45069</v>
          </cell>
          <cell r="AA1">
            <v>45070</v>
          </cell>
          <cell r="AB1">
            <v>45071</v>
          </cell>
          <cell r="AC1">
            <v>45072</v>
          </cell>
          <cell r="AD1">
            <v>45073</v>
          </cell>
          <cell r="AE1">
            <v>45074</v>
          </cell>
          <cell r="AF1">
            <v>45075</v>
          </cell>
          <cell r="AG1">
            <v>45076</v>
          </cell>
          <cell r="AH1">
            <v>45077</v>
          </cell>
        </row>
        <row r="2">
          <cell r="D2">
            <v>45047</v>
          </cell>
          <cell r="E2">
            <v>45048</v>
          </cell>
          <cell r="F2">
            <v>45049</v>
          </cell>
          <cell r="G2">
            <v>45050</v>
          </cell>
          <cell r="H2">
            <v>45051</v>
          </cell>
          <cell r="I2">
            <v>45052</v>
          </cell>
          <cell r="J2">
            <v>45053</v>
          </cell>
          <cell r="K2">
            <v>45054</v>
          </cell>
          <cell r="L2">
            <v>45055</v>
          </cell>
          <cell r="M2">
            <v>45056</v>
          </cell>
          <cell r="N2">
            <v>45057</v>
          </cell>
          <cell r="O2">
            <v>45058</v>
          </cell>
          <cell r="P2">
            <v>45059</v>
          </cell>
          <cell r="Q2">
            <v>45060</v>
          </cell>
          <cell r="R2">
            <v>45061</v>
          </cell>
          <cell r="S2">
            <v>45062</v>
          </cell>
          <cell r="T2">
            <v>45063</v>
          </cell>
          <cell r="U2">
            <v>45064</v>
          </cell>
          <cell r="V2">
            <v>45065</v>
          </cell>
          <cell r="W2">
            <v>45066</v>
          </cell>
          <cell r="X2">
            <v>45067</v>
          </cell>
          <cell r="Y2">
            <v>45068</v>
          </cell>
          <cell r="Z2">
            <v>45069</v>
          </cell>
          <cell r="AA2">
            <v>45070</v>
          </cell>
          <cell r="AB2">
            <v>45071</v>
          </cell>
          <cell r="AC2">
            <v>45072</v>
          </cell>
          <cell r="AD2">
            <v>45073</v>
          </cell>
          <cell r="AE2">
            <v>45074</v>
          </cell>
          <cell r="AF2">
            <v>45075</v>
          </cell>
          <cell r="AG2">
            <v>45076</v>
          </cell>
          <cell r="AH2">
            <v>45077</v>
          </cell>
        </row>
        <row r="3">
          <cell r="D3" t="str">
            <v>平田恵</v>
          </cell>
          <cell r="E3" t="str">
            <v>清水</v>
          </cell>
          <cell r="F3" t="str">
            <v>山村</v>
          </cell>
          <cell r="G3" t="str">
            <v>山村</v>
          </cell>
          <cell r="H3" t="str">
            <v>山村</v>
          </cell>
          <cell r="I3" t="str">
            <v/>
          </cell>
          <cell r="J3" t="str">
            <v>山村</v>
          </cell>
          <cell r="K3" t="str">
            <v>庵</v>
          </cell>
          <cell r="L3" t="str">
            <v>南</v>
          </cell>
          <cell r="M3" t="str">
            <v>西郡</v>
          </cell>
          <cell r="N3" t="str">
            <v>中村公</v>
          </cell>
          <cell r="O3" t="str">
            <v>林</v>
          </cell>
          <cell r="P3" t="str">
            <v/>
          </cell>
          <cell r="Q3" t="str">
            <v>山村</v>
          </cell>
          <cell r="R3" t="str">
            <v>長田</v>
          </cell>
          <cell r="S3" t="str">
            <v>山本</v>
          </cell>
          <cell r="T3" t="str">
            <v>山本</v>
          </cell>
          <cell r="U3" t="str">
            <v>長田</v>
          </cell>
          <cell r="V3" t="str">
            <v>加藤</v>
          </cell>
          <cell r="W3" t="str">
            <v/>
          </cell>
          <cell r="X3" t="str">
            <v>山村</v>
          </cell>
          <cell r="Y3" t="str">
            <v>平田恵</v>
          </cell>
          <cell r="Z3" t="str">
            <v>大橋</v>
          </cell>
          <cell r="AA3" t="str">
            <v>田村</v>
          </cell>
          <cell r="AB3" t="str">
            <v>南</v>
          </cell>
          <cell r="AC3" t="str">
            <v>林</v>
          </cell>
          <cell r="AD3" t="str">
            <v/>
          </cell>
          <cell r="AE3" t="str">
            <v>山村</v>
          </cell>
          <cell r="AF3" t="str">
            <v>大橋</v>
          </cell>
          <cell r="AG3" t="str">
            <v>薬司</v>
          </cell>
          <cell r="AH3" t="str">
            <v>平田恵</v>
          </cell>
        </row>
        <row r="4">
          <cell r="D4" t="str">
            <v>長田</v>
          </cell>
          <cell r="E4" t="str">
            <v>薬司</v>
          </cell>
          <cell r="F4" t="str">
            <v>山下</v>
          </cell>
          <cell r="G4" t="str">
            <v>山下</v>
          </cell>
          <cell r="H4" t="str">
            <v>山下</v>
          </cell>
          <cell r="I4" t="str">
            <v/>
          </cell>
          <cell r="J4" t="str">
            <v>山下</v>
          </cell>
          <cell r="K4" t="str">
            <v>佐藤穂</v>
          </cell>
          <cell r="L4" t="str">
            <v>佐藤恵</v>
          </cell>
          <cell r="M4" t="str">
            <v>諸田</v>
          </cell>
          <cell r="N4" t="str">
            <v>福知</v>
          </cell>
          <cell r="O4" t="str">
            <v>薬司</v>
          </cell>
          <cell r="P4" t="str">
            <v/>
          </cell>
          <cell r="Q4" t="str">
            <v>山下</v>
          </cell>
          <cell r="R4" t="str">
            <v>大橋</v>
          </cell>
          <cell r="S4" t="str">
            <v>田村</v>
          </cell>
          <cell r="T4" t="str">
            <v>庵</v>
          </cell>
          <cell r="U4" t="str">
            <v>澤野</v>
          </cell>
          <cell r="V4" t="str">
            <v>西郡</v>
          </cell>
          <cell r="W4" t="str">
            <v/>
          </cell>
          <cell r="X4" t="str">
            <v>山下</v>
          </cell>
          <cell r="Y4" t="str">
            <v>袋</v>
          </cell>
          <cell r="Z4" t="str">
            <v>諸田</v>
          </cell>
          <cell r="AA4" t="str">
            <v>加藤</v>
          </cell>
          <cell r="AB4" t="str">
            <v>田村</v>
          </cell>
          <cell r="AC4" t="str">
            <v/>
          </cell>
          <cell r="AD4" t="str">
            <v/>
          </cell>
          <cell r="AE4" t="str">
            <v>山下</v>
          </cell>
          <cell r="AF4" t="str">
            <v>澤野</v>
          </cell>
          <cell r="AG4" t="str">
            <v>袋</v>
          </cell>
          <cell r="AH4" t="str">
            <v>松木</v>
          </cell>
        </row>
        <row r="5">
          <cell r="D5" t="str">
            <v>大橋</v>
          </cell>
          <cell r="E5" t="str">
            <v>西郡</v>
          </cell>
          <cell r="F5" t="str">
            <v>平田恵</v>
          </cell>
          <cell r="G5" t="str">
            <v>平田恵</v>
          </cell>
          <cell r="H5" t="str">
            <v>平田恵</v>
          </cell>
          <cell r="I5" t="str">
            <v/>
          </cell>
          <cell r="J5" t="str">
            <v>平田恵</v>
          </cell>
          <cell r="K5" t="str">
            <v>袋</v>
          </cell>
          <cell r="L5" t="str">
            <v/>
          </cell>
          <cell r="M5" t="str">
            <v>雨池</v>
          </cell>
          <cell r="N5" t="str">
            <v/>
          </cell>
          <cell r="O5" t="str">
            <v/>
          </cell>
          <cell r="P5" t="str">
            <v/>
          </cell>
          <cell r="Q5" t="str">
            <v>平田恵</v>
          </cell>
          <cell r="R5" t="str">
            <v>福知</v>
          </cell>
          <cell r="S5" t="str">
            <v/>
          </cell>
          <cell r="T5" t="str">
            <v>佐藤穂</v>
          </cell>
          <cell r="U5" t="str">
            <v/>
          </cell>
          <cell r="V5" t="str">
            <v/>
          </cell>
          <cell r="W5" t="str">
            <v/>
          </cell>
          <cell r="X5" t="str">
            <v>長田</v>
          </cell>
          <cell r="Y5" t="str">
            <v/>
          </cell>
          <cell r="Z5" t="str">
            <v/>
          </cell>
          <cell r="AA5" t="str">
            <v/>
          </cell>
          <cell r="AB5" t="str">
            <v>雨池</v>
          </cell>
          <cell r="AC5" t="str">
            <v/>
          </cell>
          <cell r="AD5" t="str">
            <v/>
          </cell>
          <cell r="AE5" t="str">
            <v>長田</v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/>
          </cell>
          <cell r="E6" t="str">
            <v>雨池</v>
          </cell>
          <cell r="F6" t="str">
            <v>長田</v>
          </cell>
          <cell r="G6" t="str">
            <v>長田</v>
          </cell>
          <cell r="H6" t="str">
            <v>中井</v>
          </cell>
          <cell r="I6" t="str">
            <v/>
          </cell>
          <cell r="J6" t="str">
            <v>長田</v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>長田</v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>中井</v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>中井</v>
          </cell>
          <cell r="AF6" t="str">
            <v/>
          </cell>
          <cell r="AG6" t="str">
            <v/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>中井</v>
          </cell>
          <cell r="G7" t="str">
            <v>中井</v>
          </cell>
          <cell r="H7" t="str">
            <v>北</v>
          </cell>
          <cell r="I7" t="str">
            <v/>
          </cell>
          <cell r="J7" t="str">
            <v>中井</v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>中井</v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>北</v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>北</v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>北</v>
          </cell>
          <cell r="G8" t="str">
            <v>北</v>
          </cell>
          <cell r="H8" t="str">
            <v>中村映</v>
          </cell>
          <cell r="I8" t="str">
            <v/>
          </cell>
          <cell r="J8" t="str">
            <v>北</v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>北</v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>中村映</v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>中村映</v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/>
          </cell>
          <cell r="E9" t="str">
            <v/>
          </cell>
          <cell r="F9" t="str">
            <v>中村映</v>
          </cell>
          <cell r="G9" t="str">
            <v>中村映</v>
          </cell>
          <cell r="H9" t="str">
            <v>平田真</v>
          </cell>
          <cell r="I9" t="str">
            <v/>
          </cell>
          <cell r="J9" t="str">
            <v>中村映</v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>中村映</v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>平田真</v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>平田真</v>
          </cell>
          <cell r="AF9" t="str">
            <v/>
          </cell>
          <cell r="AG9" t="str">
            <v/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>平田真</v>
          </cell>
          <cell r="G10" t="str">
            <v>平田真</v>
          </cell>
          <cell r="H10" t="str">
            <v>大橋</v>
          </cell>
          <cell r="I10" t="str">
            <v/>
          </cell>
          <cell r="J10" t="str">
            <v>平田真</v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>平田真</v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>山本</v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>山本</v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印刷用2"/>
      <sheetName val="らいふクリニック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D1"/>
          <cell r="E1"/>
          <cell r="F1"/>
          <cell r="G1" t="str">
            <v>山田</v>
          </cell>
          <cell r="H1" t="str">
            <v>中井</v>
          </cell>
          <cell r="I1" t="str">
            <v>北</v>
          </cell>
          <cell r="J1" t="str">
            <v>中村</v>
          </cell>
          <cell r="K1" t="str">
            <v>平田真</v>
          </cell>
          <cell r="L1" t="str">
            <v>山下</v>
          </cell>
          <cell r="M1" t="str">
            <v>清水</v>
          </cell>
          <cell r="N1" t="str">
            <v>大橋</v>
          </cell>
          <cell r="O1" t="str">
            <v>山本</v>
          </cell>
          <cell r="P1" t="str">
            <v>南</v>
          </cell>
          <cell r="Q1" t="str">
            <v>澤野</v>
          </cell>
          <cell r="R1" t="str">
            <v>山村</v>
          </cell>
          <cell r="S1" t="str">
            <v>坪野</v>
          </cell>
          <cell r="T1" t="str">
            <v>平田恵</v>
          </cell>
          <cell r="U1" t="str">
            <v>長田</v>
          </cell>
          <cell r="V1" t="str">
            <v>黒田辰</v>
          </cell>
          <cell r="W1" t="str">
            <v>長迫</v>
          </cell>
          <cell r="X1" t="str">
            <v>林</v>
          </cell>
          <cell r="Y1" t="str">
            <v>吉田</v>
          </cell>
          <cell r="Z1" t="str">
            <v>田村</v>
          </cell>
          <cell r="AA1" t="str">
            <v>斎藤</v>
          </cell>
          <cell r="AB1" t="str">
            <v>佐藤恵</v>
          </cell>
          <cell r="AC1" t="str">
            <v>村崎</v>
          </cell>
          <cell r="AD1" t="str">
            <v>加藤</v>
          </cell>
          <cell r="AE1" t="str">
            <v>本田</v>
          </cell>
          <cell r="AF1" t="str">
            <v>薬師</v>
          </cell>
          <cell r="AG1" t="str">
            <v>佐藤穂</v>
          </cell>
          <cell r="AH1"/>
        </row>
        <row r="2">
          <cell r="D2"/>
          <cell r="E2"/>
          <cell r="F2"/>
          <cell r="G2">
            <v>19</v>
          </cell>
          <cell r="H2">
            <v>20</v>
          </cell>
          <cell r="I2">
            <v>20</v>
          </cell>
          <cell r="J2">
            <v>19</v>
          </cell>
          <cell r="K2">
            <v>19</v>
          </cell>
          <cell r="L2">
            <v>19</v>
          </cell>
          <cell r="M2">
            <v>20</v>
          </cell>
          <cell r="N2">
            <v>19</v>
          </cell>
          <cell r="O2">
            <v>20</v>
          </cell>
          <cell r="P2">
            <v>20</v>
          </cell>
          <cell r="Q2">
            <v>19</v>
          </cell>
          <cell r="R2">
            <v>19</v>
          </cell>
          <cell r="S2">
            <v>17</v>
          </cell>
          <cell r="T2">
            <v>19</v>
          </cell>
          <cell r="U2">
            <v>20</v>
          </cell>
          <cell r="V2">
            <v>20</v>
          </cell>
          <cell r="W2">
            <v>20</v>
          </cell>
          <cell r="X2">
            <v>14</v>
          </cell>
          <cell r="Y2">
            <v>19</v>
          </cell>
          <cell r="Z2">
            <v>20</v>
          </cell>
          <cell r="AA2">
            <v>19</v>
          </cell>
          <cell r="AB2">
            <v>20</v>
          </cell>
          <cell r="AC2">
            <v>19</v>
          </cell>
          <cell r="AD2">
            <v>20</v>
          </cell>
          <cell r="AE2">
            <v>20</v>
          </cell>
          <cell r="AF2">
            <v>18</v>
          </cell>
          <cell r="AG2">
            <v>19</v>
          </cell>
          <cell r="AH2"/>
        </row>
        <row r="3">
          <cell r="D3"/>
          <cell r="E3"/>
          <cell r="F3"/>
          <cell r="G3">
            <v>20</v>
          </cell>
          <cell r="H3">
            <v>20</v>
          </cell>
          <cell r="I3">
            <v>20</v>
          </cell>
          <cell r="J3">
            <v>21</v>
          </cell>
          <cell r="K3">
            <v>19</v>
          </cell>
          <cell r="L3">
            <v>21</v>
          </cell>
          <cell r="M3">
            <v>20</v>
          </cell>
          <cell r="N3">
            <v>21</v>
          </cell>
          <cell r="O3">
            <v>21</v>
          </cell>
          <cell r="P3">
            <v>21</v>
          </cell>
          <cell r="Q3">
            <v>20</v>
          </cell>
          <cell r="R3">
            <v>21</v>
          </cell>
          <cell r="S3">
            <v>17</v>
          </cell>
          <cell r="T3">
            <v>20</v>
          </cell>
          <cell r="U3">
            <v>20</v>
          </cell>
          <cell r="V3">
            <v>21</v>
          </cell>
          <cell r="W3">
            <v>21</v>
          </cell>
          <cell r="X3">
            <v>15</v>
          </cell>
          <cell r="Y3">
            <v>19</v>
          </cell>
          <cell r="Z3">
            <v>20</v>
          </cell>
          <cell r="AA3">
            <v>20</v>
          </cell>
          <cell r="AB3">
            <v>21</v>
          </cell>
          <cell r="AC3">
            <v>21</v>
          </cell>
          <cell r="AD3">
            <v>20</v>
          </cell>
          <cell r="AE3">
            <v>21</v>
          </cell>
          <cell r="AF3">
            <v>20</v>
          </cell>
          <cell r="AG3">
            <v>20</v>
          </cell>
          <cell r="AH3"/>
        </row>
        <row r="4">
          <cell r="D4">
            <v>43474</v>
          </cell>
          <cell r="E4" t="str">
            <v>本田</v>
          </cell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</row>
      </sheetData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印刷用2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D1">
            <v>45108</v>
          </cell>
          <cell r="E1">
            <v>45109</v>
          </cell>
          <cell r="F1">
            <v>45110</v>
          </cell>
          <cell r="G1">
            <v>45111</v>
          </cell>
          <cell r="H1">
            <v>45112</v>
          </cell>
          <cell r="I1">
            <v>45113</v>
          </cell>
          <cell r="J1">
            <v>45114</v>
          </cell>
          <cell r="K1">
            <v>45115</v>
          </cell>
          <cell r="L1">
            <v>45116</v>
          </cell>
          <cell r="M1">
            <v>45117</v>
          </cell>
          <cell r="N1">
            <v>45118</v>
          </cell>
          <cell r="O1">
            <v>45119</v>
          </cell>
          <cell r="P1">
            <v>45120</v>
          </cell>
          <cell r="Q1">
            <v>45121</v>
          </cell>
          <cell r="R1">
            <v>45122</v>
          </cell>
          <cell r="S1">
            <v>45123</v>
          </cell>
          <cell r="T1">
            <v>45124</v>
          </cell>
          <cell r="U1">
            <v>45125</v>
          </cell>
          <cell r="V1">
            <v>45126</v>
          </cell>
          <cell r="W1">
            <v>45127</v>
          </cell>
          <cell r="X1">
            <v>45128</v>
          </cell>
          <cell r="Y1">
            <v>45129</v>
          </cell>
          <cell r="Z1">
            <v>45130</v>
          </cell>
          <cell r="AA1">
            <v>45131</v>
          </cell>
          <cell r="AB1">
            <v>45132</v>
          </cell>
          <cell r="AC1">
            <v>45133</v>
          </cell>
          <cell r="AD1">
            <v>45134</v>
          </cell>
          <cell r="AE1">
            <v>45135</v>
          </cell>
          <cell r="AF1">
            <v>45136</v>
          </cell>
          <cell r="AG1">
            <v>45137</v>
          </cell>
          <cell r="AH1">
            <v>45138</v>
          </cell>
        </row>
        <row r="2">
          <cell r="D2">
            <v>45108</v>
          </cell>
          <cell r="E2">
            <v>45109</v>
          </cell>
          <cell r="F2">
            <v>45110</v>
          </cell>
          <cell r="G2">
            <v>45111</v>
          </cell>
          <cell r="H2">
            <v>45112</v>
          </cell>
          <cell r="I2">
            <v>45113</v>
          </cell>
          <cell r="J2">
            <v>45114</v>
          </cell>
          <cell r="K2">
            <v>45115</v>
          </cell>
          <cell r="L2">
            <v>45116</v>
          </cell>
          <cell r="M2">
            <v>45117</v>
          </cell>
          <cell r="N2">
            <v>45118</v>
          </cell>
          <cell r="O2">
            <v>45119</v>
          </cell>
          <cell r="P2">
            <v>45120</v>
          </cell>
          <cell r="Q2">
            <v>45121</v>
          </cell>
          <cell r="R2">
            <v>45122</v>
          </cell>
          <cell r="S2">
            <v>45123</v>
          </cell>
          <cell r="T2">
            <v>45124</v>
          </cell>
          <cell r="U2">
            <v>45125</v>
          </cell>
          <cell r="V2">
            <v>45126</v>
          </cell>
          <cell r="W2">
            <v>45127</v>
          </cell>
          <cell r="X2">
            <v>45128</v>
          </cell>
          <cell r="Y2">
            <v>45129</v>
          </cell>
          <cell r="Z2">
            <v>45130</v>
          </cell>
          <cell r="AA2">
            <v>45131</v>
          </cell>
          <cell r="AB2">
            <v>45132</v>
          </cell>
          <cell r="AC2">
            <v>45133</v>
          </cell>
          <cell r="AD2">
            <v>45134</v>
          </cell>
          <cell r="AE2">
            <v>45135</v>
          </cell>
          <cell r="AF2">
            <v>45136</v>
          </cell>
          <cell r="AG2">
            <v>45137</v>
          </cell>
          <cell r="AH2">
            <v>45138</v>
          </cell>
        </row>
        <row r="3">
          <cell r="D3" t="str">
            <v>○</v>
          </cell>
          <cell r="E3" t="str">
            <v>●</v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>／</v>
          </cell>
          <cell r="L3" t="str">
            <v>●</v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>○</v>
          </cell>
          <cell r="S3" t="str">
            <v>●</v>
          </cell>
          <cell r="T3" t="str">
            <v>●</v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>／</v>
          </cell>
          <cell r="Z3" t="str">
            <v>●</v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  <cell r="AF3" t="str">
            <v>○</v>
          </cell>
          <cell r="AG3" t="str">
            <v>●</v>
          </cell>
          <cell r="AH3" t="str">
            <v/>
          </cell>
        </row>
        <row r="4">
          <cell r="D4" t="str">
            <v>忌引</v>
          </cell>
          <cell r="E4" t="str">
            <v>忌引</v>
          </cell>
          <cell r="F4" t="str">
            <v>忌引</v>
          </cell>
          <cell r="G4" t="str">
            <v/>
          </cell>
          <cell r="H4" t="str">
            <v>出張</v>
          </cell>
          <cell r="I4" t="str">
            <v>出張</v>
          </cell>
          <cell r="J4" t="str">
            <v>出張</v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  <cell r="AF4" t="str">
            <v/>
          </cell>
          <cell r="AG4" t="str">
            <v/>
          </cell>
          <cell r="AH4" t="str">
            <v/>
          </cell>
        </row>
        <row r="5"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</row>
        <row r="6">
          <cell r="D6" t="str">
            <v>／</v>
          </cell>
          <cell r="E6" t="str">
            <v>●</v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>○</v>
          </cell>
          <cell r="L6" t="str">
            <v>●</v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>当</v>
          </cell>
          <cell r="S6" t="str">
            <v>明</v>
          </cell>
          <cell r="T6" t="str">
            <v>●</v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>○</v>
          </cell>
          <cell r="Z6" t="str">
            <v>●</v>
          </cell>
          <cell r="AA6" t="str">
            <v>●</v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>／</v>
          </cell>
          <cell r="AG6" t="str">
            <v>●</v>
          </cell>
          <cell r="AH6" t="str">
            <v/>
          </cell>
        </row>
        <row r="7"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>夏PM</v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</row>
        <row r="8"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</row>
        <row r="9">
          <cell r="D9" t="str">
            <v>／</v>
          </cell>
          <cell r="E9" t="str">
            <v>●</v>
          </cell>
          <cell r="F9" t="str">
            <v/>
          </cell>
          <cell r="G9" t="str">
            <v/>
          </cell>
          <cell r="H9" t="str">
            <v/>
          </cell>
          <cell r="I9" t="str">
            <v>当</v>
          </cell>
          <cell r="J9" t="str">
            <v>明</v>
          </cell>
          <cell r="K9" t="str">
            <v>○</v>
          </cell>
          <cell r="L9" t="str">
            <v>●</v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>／</v>
          </cell>
          <cell r="S9" t="str">
            <v>●</v>
          </cell>
          <cell r="T9" t="str">
            <v>●</v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>○</v>
          </cell>
          <cell r="Z9" t="str">
            <v>当</v>
          </cell>
          <cell r="AA9" t="str">
            <v>明</v>
          </cell>
          <cell r="AB9" t="str">
            <v>●</v>
          </cell>
          <cell r="AC9" t="str">
            <v/>
          </cell>
          <cell r="AD9" t="str">
            <v/>
          </cell>
          <cell r="AE9" t="str">
            <v/>
          </cell>
          <cell r="AF9" t="str">
            <v>／</v>
          </cell>
          <cell r="AG9" t="str">
            <v>●</v>
          </cell>
          <cell r="AH9" t="str">
            <v/>
          </cell>
        </row>
        <row r="10"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>夏季</v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</row>
      </sheetData>
      <sheetData sheetId="7"/>
      <sheetData sheetId="8"/>
      <sheetData sheetId="9">
        <row r="1">
          <cell r="D1">
            <v>45078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D1"/>
          <cell r="E1"/>
          <cell r="F1"/>
          <cell r="G1" t="str">
            <v>山田</v>
          </cell>
          <cell r="H1" t="str">
            <v>中井</v>
          </cell>
          <cell r="I1" t="str">
            <v>北</v>
          </cell>
          <cell r="J1" t="str">
            <v>中村</v>
          </cell>
          <cell r="K1" t="str">
            <v>平田真</v>
          </cell>
          <cell r="L1" t="str">
            <v>山下</v>
          </cell>
          <cell r="M1" t="str">
            <v>清水</v>
          </cell>
          <cell r="N1" t="str">
            <v>大橋</v>
          </cell>
          <cell r="O1" t="str">
            <v>山本</v>
          </cell>
          <cell r="P1" t="str">
            <v>南</v>
          </cell>
          <cell r="Q1" t="str">
            <v>澤野</v>
          </cell>
          <cell r="R1" t="str">
            <v>山村</v>
          </cell>
          <cell r="S1" t="str">
            <v>坪野</v>
          </cell>
          <cell r="T1" t="str">
            <v>平田恵</v>
          </cell>
          <cell r="U1" t="str">
            <v>長田</v>
          </cell>
          <cell r="V1" t="str">
            <v>黒田辰</v>
          </cell>
          <cell r="W1" t="str">
            <v>長迫</v>
          </cell>
          <cell r="X1" t="str">
            <v>林</v>
          </cell>
          <cell r="Y1" t="str">
            <v>吉田</v>
          </cell>
          <cell r="Z1" t="str">
            <v>田村</v>
          </cell>
          <cell r="AA1" t="str">
            <v>斎藤</v>
          </cell>
          <cell r="AB1" t="str">
            <v>佐藤恵</v>
          </cell>
          <cell r="AC1" t="str">
            <v>村崎</v>
          </cell>
          <cell r="AD1" t="str">
            <v>加藤</v>
          </cell>
          <cell r="AE1" t="str">
            <v>本田</v>
          </cell>
          <cell r="AF1" t="str">
            <v>薬師</v>
          </cell>
          <cell r="AG1" t="str">
            <v>佐藤穂</v>
          </cell>
          <cell r="AH1"/>
        </row>
        <row r="2">
          <cell r="D2"/>
          <cell r="E2"/>
          <cell r="F2"/>
          <cell r="G2">
            <v>19</v>
          </cell>
          <cell r="H2">
            <v>20</v>
          </cell>
          <cell r="I2">
            <v>20</v>
          </cell>
          <cell r="J2">
            <v>19</v>
          </cell>
          <cell r="K2">
            <v>19</v>
          </cell>
          <cell r="L2">
            <v>19</v>
          </cell>
          <cell r="M2">
            <v>20</v>
          </cell>
          <cell r="N2">
            <v>19</v>
          </cell>
          <cell r="O2">
            <v>20</v>
          </cell>
          <cell r="P2">
            <v>20</v>
          </cell>
          <cell r="Q2">
            <v>19</v>
          </cell>
          <cell r="R2">
            <v>19</v>
          </cell>
          <cell r="S2">
            <v>17</v>
          </cell>
          <cell r="T2">
            <v>19</v>
          </cell>
          <cell r="U2">
            <v>20</v>
          </cell>
          <cell r="V2">
            <v>20</v>
          </cell>
          <cell r="W2">
            <v>20</v>
          </cell>
          <cell r="X2">
            <v>14</v>
          </cell>
          <cell r="Y2">
            <v>19</v>
          </cell>
          <cell r="Z2">
            <v>20</v>
          </cell>
          <cell r="AA2">
            <v>19</v>
          </cell>
          <cell r="AB2">
            <v>20</v>
          </cell>
          <cell r="AC2">
            <v>19</v>
          </cell>
          <cell r="AD2">
            <v>20</v>
          </cell>
          <cell r="AE2">
            <v>20</v>
          </cell>
          <cell r="AF2">
            <v>18</v>
          </cell>
          <cell r="AG2">
            <v>19</v>
          </cell>
          <cell r="AH2"/>
        </row>
        <row r="3">
          <cell r="D3"/>
          <cell r="E3"/>
          <cell r="F3"/>
          <cell r="G3">
            <v>20</v>
          </cell>
          <cell r="H3">
            <v>20</v>
          </cell>
          <cell r="I3">
            <v>20</v>
          </cell>
          <cell r="J3">
            <v>21</v>
          </cell>
          <cell r="K3">
            <v>19</v>
          </cell>
          <cell r="L3">
            <v>21</v>
          </cell>
          <cell r="M3">
            <v>20</v>
          </cell>
          <cell r="N3">
            <v>21</v>
          </cell>
          <cell r="O3">
            <v>21</v>
          </cell>
          <cell r="P3">
            <v>21</v>
          </cell>
          <cell r="Q3">
            <v>20</v>
          </cell>
          <cell r="R3">
            <v>21</v>
          </cell>
          <cell r="S3">
            <v>17</v>
          </cell>
          <cell r="T3">
            <v>20</v>
          </cell>
          <cell r="U3">
            <v>20</v>
          </cell>
          <cell r="V3">
            <v>21</v>
          </cell>
          <cell r="W3">
            <v>21</v>
          </cell>
          <cell r="X3">
            <v>15</v>
          </cell>
          <cell r="Y3">
            <v>19</v>
          </cell>
          <cell r="Z3">
            <v>20</v>
          </cell>
          <cell r="AA3">
            <v>20</v>
          </cell>
          <cell r="AB3">
            <v>21</v>
          </cell>
          <cell r="AC3">
            <v>21</v>
          </cell>
          <cell r="AD3">
            <v>20</v>
          </cell>
          <cell r="AE3">
            <v>21</v>
          </cell>
          <cell r="AF3">
            <v>20</v>
          </cell>
          <cell r="AG3">
            <v>20</v>
          </cell>
          <cell r="AH3"/>
        </row>
        <row r="4">
          <cell r="D4">
            <v>43474</v>
          </cell>
          <cell r="E4" t="str">
            <v>本田</v>
          </cell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</row>
      </sheetData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デイリーデータ"/>
      <sheetName val="宅直データ "/>
      <sheetName val="デイリーデータ (2)"/>
      <sheetName val="宅直データ (２)"/>
      <sheetName val="拘束担当依頼表"/>
      <sheetName val="スタッフ"/>
      <sheetName val="勤務表"/>
      <sheetName val="当"/>
      <sheetName val="明"/>
      <sheetName val="●"/>
      <sheetName val="午前半"/>
      <sheetName val="例外"/>
      <sheetName val="勤務表 (2)"/>
      <sheetName val="印刷用"/>
      <sheetName val="拘"/>
      <sheetName val="月表示"/>
      <sheetName val="拘束者"/>
      <sheetName val="日勤"/>
      <sheetName val="管理課提出用データ"/>
      <sheetName val="マニュアル"/>
      <sheetName val="印刷用2"/>
      <sheetName val="らいふクリニック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D1">
            <v>45108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">
          <cell r="D1"/>
          <cell r="E1"/>
          <cell r="F1"/>
          <cell r="G1" t="str">
            <v>山田</v>
          </cell>
          <cell r="H1" t="str">
            <v>中井</v>
          </cell>
          <cell r="I1" t="str">
            <v>北</v>
          </cell>
          <cell r="J1" t="str">
            <v>中村</v>
          </cell>
          <cell r="K1" t="str">
            <v>平田真</v>
          </cell>
          <cell r="L1" t="str">
            <v>山下</v>
          </cell>
          <cell r="M1" t="str">
            <v>清水</v>
          </cell>
          <cell r="N1" t="str">
            <v>大橋</v>
          </cell>
          <cell r="O1" t="str">
            <v>山本</v>
          </cell>
          <cell r="P1" t="str">
            <v>南</v>
          </cell>
          <cell r="Q1" t="str">
            <v>澤野</v>
          </cell>
          <cell r="R1" t="str">
            <v>山村</v>
          </cell>
          <cell r="S1" t="str">
            <v>坪野</v>
          </cell>
          <cell r="T1" t="str">
            <v>平田恵</v>
          </cell>
          <cell r="U1" t="str">
            <v>長田</v>
          </cell>
          <cell r="V1" t="str">
            <v>黒田辰</v>
          </cell>
          <cell r="W1" t="str">
            <v>長迫</v>
          </cell>
          <cell r="X1" t="str">
            <v>林</v>
          </cell>
          <cell r="Y1" t="str">
            <v>吉田</v>
          </cell>
          <cell r="Z1" t="str">
            <v>田村</v>
          </cell>
          <cell r="AA1" t="str">
            <v>斎藤</v>
          </cell>
          <cell r="AB1" t="str">
            <v>佐藤恵</v>
          </cell>
          <cell r="AC1" t="str">
            <v>村崎</v>
          </cell>
          <cell r="AD1" t="str">
            <v>加藤</v>
          </cell>
          <cell r="AE1" t="str">
            <v>本田</v>
          </cell>
          <cell r="AF1" t="str">
            <v>薬師</v>
          </cell>
          <cell r="AG1" t="str">
            <v>佐藤穂</v>
          </cell>
          <cell r="AH1"/>
        </row>
        <row r="2">
          <cell r="D2"/>
          <cell r="E2"/>
          <cell r="F2"/>
          <cell r="G2">
            <v>19</v>
          </cell>
          <cell r="H2">
            <v>20</v>
          </cell>
          <cell r="I2">
            <v>20</v>
          </cell>
          <cell r="J2">
            <v>19</v>
          </cell>
          <cell r="K2">
            <v>19</v>
          </cell>
          <cell r="L2">
            <v>19</v>
          </cell>
          <cell r="M2">
            <v>20</v>
          </cell>
          <cell r="N2">
            <v>19</v>
          </cell>
          <cell r="O2">
            <v>20</v>
          </cell>
          <cell r="P2">
            <v>20</v>
          </cell>
          <cell r="Q2">
            <v>19</v>
          </cell>
          <cell r="R2">
            <v>19</v>
          </cell>
          <cell r="S2">
            <v>17</v>
          </cell>
          <cell r="T2">
            <v>19</v>
          </cell>
          <cell r="U2">
            <v>20</v>
          </cell>
          <cell r="V2">
            <v>20</v>
          </cell>
          <cell r="W2">
            <v>20</v>
          </cell>
          <cell r="X2">
            <v>14</v>
          </cell>
          <cell r="Y2">
            <v>19</v>
          </cell>
          <cell r="Z2">
            <v>20</v>
          </cell>
          <cell r="AA2">
            <v>19</v>
          </cell>
          <cell r="AB2">
            <v>20</v>
          </cell>
          <cell r="AC2">
            <v>19</v>
          </cell>
          <cell r="AD2">
            <v>20</v>
          </cell>
          <cell r="AE2">
            <v>20</v>
          </cell>
          <cell r="AF2">
            <v>18</v>
          </cell>
          <cell r="AG2">
            <v>19</v>
          </cell>
          <cell r="AH2"/>
        </row>
        <row r="3">
          <cell r="D3"/>
          <cell r="E3"/>
          <cell r="F3"/>
          <cell r="G3">
            <v>20</v>
          </cell>
          <cell r="H3">
            <v>20</v>
          </cell>
          <cell r="I3">
            <v>20</v>
          </cell>
          <cell r="J3">
            <v>21</v>
          </cell>
          <cell r="K3">
            <v>19</v>
          </cell>
          <cell r="L3">
            <v>21</v>
          </cell>
          <cell r="M3">
            <v>20</v>
          </cell>
          <cell r="N3">
            <v>21</v>
          </cell>
          <cell r="O3">
            <v>21</v>
          </cell>
          <cell r="P3">
            <v>21</v>
          </cell>
          <cell r="Q3">
            <v>20</v>
          </cell>
          <cell r="R3">
            <v>21</v>
          </cell>
          <cell r="S3">
            <v>17</v>
          </cell>
          <cell r="T3">
            <v>20</v>
          </cell>
          <cell r="U3">
            <v>20</v>
          </cell>
          <cell r="V3">
            <v>21</v>
          </cell>
          <cell r="W3">
            <v>21</v>
          </cell>
          <cell r="X3">
            <v>15</v>
          </cell>
          <cell r="Y3">
            <v>19</v>
          </cell>
          <cell r="Z3">
            <v>20</v>
          </cell>
          <cell r="AA3">
            <v>20</v>
          </cell>
          <cell r="AB3">
            <v>21</v>
          </cell>
          <cell r="AC3">
            <v>21</v>
          </cell>
          <cell r="AD3">
            <v>20</v>
          </cell>
          <cell r="AE3">
            <v>21</v>
          </cell>
          <cell r="AF3">
            <v>20</v>
          </cell>
          <cell r="AG3">
            <v>20</v>
          </cell>
          <cell r="AH3"/>
        </row>
        <row r="4">
          <cell r="D4">
            <v>43474</v>
          </cell>
          <cell r="E4" t="str">
            <v>本田</v>
          </cell>
          <cell r="F4"/>
          <cell r="G4"/>
          <cell r="H4"/>
          <cell r="I4"/>
          <cell r="J4"/>
          <cell r="K4"/>
          <cell r="L4"/>
          <cell r="M4"/>
          <cell r="N4"/>
          <cell r="O4"/>
          <cell r="P4"/>
          <cell r="Q4"/>
          <cell r="R4"/>
          <cell r="S4"/>
          <cell r="T4"/>
          <cell r="U4"/>
          <cell r="V4"/>
          <cell r="W4"/>
          <cell r="X4"/>
          <cell r="Y4"/>
          <cell r="Z4"/>
          <cell r="AA4"/>
          <cell r="AB4"/>
          <cell r="AC4"/>
          <cell r="AD4"/>
          <cell r="AE4"/>
          <cell r="AF4"/>
          <cell r="AG4"/>
          <cell r="AH4"/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831"/>
  <sheetViews>
    <sheetView tabSelected="1" workbookViewId="0">
      <pane ySplit="3" topLeftCell="A268" activePane="bottomLeft" state="frozen"/>
      <selection activeCell="D1" sqref="D1"/>
      <selection pane="bottomLeft" activeCell="AF286" sqref="AF286"/>
    </sheetView>
  </sheetViews>
  <sheetFormatPr defaultRowHeight="13.9" customHeight="1" x14ac:dyDescent="0.15"/>
  <cols>
    <col min="1" max="1" width="6.625" style="10" customWidth="1"/>
    <col min="2" max="2" width="3.5" style="10" customWidth="1"/>
    <col min="3" max="3" width="7.75" style="68" customWidth="1"/>
    <col min="4" max="4" width="9.75" style="33" bestFit="1" customWidth="1"/>
    <col min="5" max="5" width="3.25" style="10" customWidth="1"/>
    <col min="6" max="6" width="9" style="39" customWidth="1"/>
    <col min="7" max="7" width="2.5" customWidth="1"/>
    <col min="8" max="14" width="2.875" style="74" customWidth="1"/>
    <col min="15" max="18" width="2.875" style="108" customWidth="1"/>
    <col min="19" max="22" width="2.875" style="74" customWidth="1"/>
    <col min="23" max="23" width="2.875" style="74" hidden="1" customWidth="1"/>
    <col min="24" max="24" width="2.875" style="108" customWidth="1"/>
    <col min="25" max="29" width="2.875" style="74" customWidth="1"/>
    <col min="30" max="30" width="2.875" style="74" hidden="1" customWidth="1"/>
    <col min="31" max="38" width="2.875" style="74" customWidth="1"/>
    <col min="39" max="40" width="2.875" style="42" customWidth="1"/>
    <col min="41" max="43" width="1.625" style="42" customWidth="1"/>
    <col min="44" max="45" width="5.25" style="19" customWidth="1"/>
    <col min="46" max="51" width="5.25" style="26" customWidth="1"/>
    <col min="53" max="53" width="17" customWidth="1"/>
    <col min="54" max="54" width="9.625" customWidth="1"/>
    <col min="55" max="55" width="14" customWidth="1"/>
    <col min="56" max="56" width="2.25" customWidth="1"/>
    <col min="57" max="57" width="17" customWidth="1"/>
    <col min="58" max="58" width="9.625" customWidth="1"/>
    <col min="59" max="59" width="14" customWidth="1"/>
  </cols>
  <sheetData>
    <row r="1" spans="1:60" ht="62.45" customHeight="1" x14ac:dyDescent="0.15">
      <c r="A1" s="8"/>
      <c r="B1" s="8"/>
      <c r="C1" s="67"/>
      <c r="D1" s="34"/>
      <c r="E1" s="9"/>
      <c r="F1" s="8"/>
      <c r="G1" s="1"/>
      <c r="H1" s="120" t="s">
        <v>111</v>
      </c>
      <c r="I1" s="75" t="s">
        <v>64</v>
      </c>
      <c r="J1" s="75" t="s">
        <v>65</v>
      </c>
      <c r="K1" s="75" t="s">
        <v>109</v>
      </c>
      <c r="L1" s="75" t="s">
        <v>66</v>
      </c>
      <c r="M1" s="75" t="s">
        <v>110</v>
      </c>
      <c r="N1" s="75" t="s">
        <v>78</v>
      </c>
      <c r="O1" s="109" t="s">
        <v>42</v>
      </c>
      <c r="P1" s="109" t="s">
        <v>43</v>
      </c>
      <c r="Q1" s="109" t="s">
        <v>44</v>
      </c>
      <c r="R1" s="109" t="s">
        <v>45</v>
      </c>
      <c r="S1" s="75" t="s">
        <v>77</v>
      </c>
      <c r="T1" s="75" t="s">
        <v>67</v>
      </c>
      <c r="U1" s="75" t="s">
        <v>46</v>
      </c>
      <c r="V1" s="75" t="s">
        <v>47</v>
      </c>
      <c r="W1" s="75" t="s">
        <v>48</v>
      </c>
      <c r="X1" s="109" t="s">
        <v>49</v>
      </c>
      <c r="Y1" s="75" t="s">
        <v>50</v>
      </c>
      <c r="Z1" s="75" t="s">
        <v>58</v>
      </c>
      <c r="AA1" s="75" t="s">
        <v>51</v>
      </c>
      <c r="AB1" s="75" t="s">
        <v>52</v>
      </c>
      <c r="AC1" s="75" t="s">
        <v>112</v>
      </c>
      <c r="AD1" s="75" t="s">
        <v>53</v>
      </c>
      <c r="AE1" s="75" t="s">
        <v>54</v>
      </c>
      <c r="AF1" s="75" t="s">
        <v>75</v>
      </c>
      <c r="AG1" s="75" t="s">
        <v>55</v>
      </c>
      <c r="AH1" s="83" t="s">
        <v>74</v>
      </c>
      <c r="AI1" s="84" t="s">
        <v>56</v>
      </c>
      <c r="AJ1" s="85" t="s">
        <v>76</v>
      </c>
      <c r="AK1" s="85" t="s">
        <v>59</v>
      </c>
      <c r="AL1" s="85" t="s">
        <v>113</v>
      </c>
      <c r="AM1" s="59"/>
      <c r="AN1" s="58"/>
      <c r="AO1" s="55"/>
      <c r="AP1" s="55"/>
      <c r="AQ1" s="55"/>
      <c r="AR1" s="15" t="s">
        <v>7</v>
      </c>
      <c r="AS1" s="16" t="s">
        <v>8</v>
      </c>
      <c r="AT1" s="17" t="s">
        <v>9</v>
      </c>
      <c r="AU1" s="17" t="s">
        <v>10</v>
      </c>
      <c r="AV1" s="17" t="s">
        <v>11</v>
      </c>
      <c r="AW1" s="17" t="s">
        <v>12</v>
      </c>
      <c r="AX1" s="17" t="s">
        <v>13</v>
      </c>
      <c r="AY1" s="18" t="s">
        <v>14</v>
      </c>
      <c r="AZ1" s="1"/>
      <c r="BA1" s="2"/>
      <c r="BB1" s="3"/>
      <c r="BC1" s="2"/>
      <c r="BD1" s="1"/>
      <c r="BE1" s="2"/>
      <c r="BF1" s="3"/>
      <c r="BG1" s="2"/>
      <c r="BH1" s="1"/>
    </row>
    <row r="2" spans="1:60" ht="13.9" customHeight="1" x14ac:dyDescent="0.15">
      <c r="A2" s="8"/>
      <c r="B2" s="8"/>
      <c r="C2" s="67"/>
      <c r="D2" s="131" t="s">
        <v>60</v>
      </c>
      <c r="E2" s="132"/>
      <c r="F2" s="132"/>
      <c r="G2" s="133"/>
      <c r="H2" s="121">
        <v>18</v>
      </c>
      <c r="I2" s="76">
        <v>18</v>
      </c>
      <c r="J2" s="76">
        <v>27</v>
      </c>
      <c r="K2" s="76">
        <v>27</v>
      </c>
      <c r="L2" s="76">
        <v>27</v>
      </c>
      <c r="M2" s="76">
        <v>18</v>
      </c>
      <c r="N2" s="76">
        <v>21</v>
      </c>
      <c r="O2" s="110">
        <v>18</v>
      </c>
      <c r="P2" s="110">
        <v>20</v>
      </c>
      <c r="Q2" s="110">
        <v>20</v>
      </c>
      <c r="R2" s="110">
        <v>19</v>
      </c>
      <c r="S2" s="76">
        <v>23</v>
      </c>
      <c r="T2" s="76">
        <v>25</v>
      </c>
      <c r="U2" s="76">
        <v>18</v>
      </c>
      <c r="V2" s="76">
        <v>19</v>
      </c>
      <c r="W2" s="76">
        <v>20</v>
      </c>
      <c r="X2" s="110">
        <v>20</v>
      </c>
      <c r="Y2" s="76">
        <v>25</v>
      </c>
      <c r="Z2" s="76">
        <v>26</v>
      </c>
      <c r="AA2" s="76">
        <v>20</v>
      </c>
      <c r="AB2" s="76">
        <v>19</v>
      </c>
      <c r="AC2" s="76">
        <v>20</v>
      </c>
      <c r="AD2" s="76">
        <v>19</v>
      </c>
      <c r="AE2" s="76">
        <v>20</v>
      </c>
      <c r="AF2" s="76">
        <v>22</v>
      </c>
      <c r="AG2" s="76">
        <v>18</v>
      </c>
      <c r="AH2" s="86">
        <v>18</v>
      </c>
      <c r="AI2" s="86">
        <v>18</v>
      </c>
      <c r="AJ2" s="86">
        <v>22</v>
      </c>
      <c r="AK2" s="87">
        <v>19</v>
      </c>
      <c r="AL2" s="87">
        <v>19</v>
      </c>
      <c r="AM2" s="70"/>
      <c r="AN2" s="71"/>
      <c r="AO2" s="4"/>
      <c r="AP2" s="4"/>
      <c r="AQ2" s="4"/>
      <c r="AZ2" s="4"/>
      <c r="BA2" s="2"/>
      <c r="BB2" s="3"/>
      <c r="BC2" s="2"/>
      <c r="BD2" s="4"/>
      <c r="BE2" s="2"/>
      <c r="BF2" s="3"/>
      <c r="BG2" s="2"/>
      <c r="BH2" s="4"/>
    </row>
    <row r="3" spans="1:60" ht="13.9" customHeight="1" x14ac:dyDescent="0.15">
      <c r="A3" s="8"/>
      <c r="B3" s="8"/>
      <c r="C3" s="67"/>
      <c r="D3" s="127" t="s">
        <v>15</v>
      </c>
      <c r="E3" s="128"/>
      <c r="F3" s="129"/>
      <c r="G3" s="4"/>
      <c r="H3" s="122">
        <f>H2+SUM(I157:K200)</f>
        <v>27</v>
      </c>
      <c r="I3" s="77">
        <f>I2+SUM(I157:K200)</f>
        <v>27</v>
      </c>
      <c r="J3" s="77">
        <f>J2+SUM(J13:J129)</f>
        <v>27</v>
      </c>
      <c r="K3" s="77">
        <f>K2+SUM(K13:K130)</f>
        <v>27</v>
      </c>
      <c r="L3" s="77">
        <f t="shared" ref="L3" si="0">L2+SUM(L13:L107)</f>
        <v>27</v>
      </c>
      <c r="M3" s="77">
        <f t="shared" ref="M3:R3" si="1">M2+SUM(M13:M200)</f>
        <v>27</v>
      </c>
      <c r="N3" s="77">
        <f t="shared" si="1"/>
        <v>27</v>
      </c>
      <c r="O3" s="111">
        <f t="shared" si="1"/>
        <v>27</v>
      </c>
      <c r="P3" s="111">
        <f t="shared" si="1"/>
        <v>27</v>
      </c>
      <c r="Q3" s="111">
        <f t="shared" si="1"/>
        <v>28</v>
      </c>
      <c r="R3" s="111">
        <f t="shared" si="1"/>
        <v>27</v>
      </c>
      <c r="S3" s="77">
        <f t="shared" ref="S3:AL3" si="2">S2+SUM(S13:S200)</f>
        <v>27</v>
      </c>
      <c r="T3" s="77">
        <f t="shared" si="2"/>
        <v>27</v>
      </c>
      <c r="U3" s="77">
        <f t="shared" si="2"/>
        <v>27</v>
      </c>
      <c r="V3" s="77">
        <f t="shared" si="2"/>
        <v>27</v>
      </c>
      <c r="W3" s="77">
        <f t="shared" si="2"/>
        <v>21</v>
      </c>
      <c r="X3" s="111">
        <f t="shared" si="2"/>
        <v>21</v>
      </c>
      <c r="Y3" s="77">
        <f t="shared" si="2"/>
        <v>27</v>
      </c>
      <c r="Z3" s="77">
        <f t="shared" si="2"/>
        <v>27</v>
      </c>
      <c r="AA3" s="77">
        <f t="shared" si="2"/>
        <v>27</v>
      </c>
      <c r="AB3" s="77">
        <f t="shared" si="2"/>
        <v>26</v>
      </c>
      <c r="AC3" s="77">
        <f t="shared" si="2"/>
        <v>28</v>
      </c>
      <c r="AD3" s="77">
        <f t="shared" si="2"/>
        <v>21</v>
      </c>
      <c r="AE3" s="77">
        <f t="shared" si="2"/>
        <v>27</v>
      </c>
      <c r="AF3" s="77">
        <f t="shared" si="2"/>
        <v>27</v>
      </c>
      <c r="AG3" s="77">
        <f t="shared" si="2"/>
        <v>27</v>
      </c>
      <c r="AH3" s="77">
        <f t="shared" si="2"/>
        <v>27</v>
      </c>
      <c r="AI3" s="77">
        <f t="shared" si="2"/>
        <v>28</v>
      </c>
      <c r="AJ3" s="77">
        <f t="shared" si="2"/>
        <v>27</v>
      </c>
      <c r="AK3" s="77">
        <f t="shared" si="2"/>
        <v>27</v>
      </c>
      <c r="AL3" s="77">
        <f t="shared" si="2"/>
        <v>27</v>
      </c>
      <c r="AM3" s="60"/>
      <c r="AN3" s="57"/>
      <c r="AO3" s="4"/>
      <c r="AP3" s="4"/>
      <c r="AQ3" s="4"/>
      <c r="AR3" s="19">
        <v>3</v>
      </c>
      <c r="AS3" s="19">
        <v>4</v>
      </c>
      <c r="AT3" s="26">
        <v>3</v>
      </c>
      <c r="AU3" s="26">
        <v>4</v>
      </c>
      <c r="AV3" s="26">
        <v>5</v>
      </c>
      <c r="AW3" s="26">
        <v>6</v>
      </c>
      <c r="AX3" s="26">
        <v>7</v>
      </c>
      <c r="AY3" s="26">
        <v>8</v>
      </c>
      <c r="AZ3" s="4"/>
      <c r="BA3" s="2"/>
      <c r="BB3" s="3"/>
      <c r="BC3" s="2"/>
      <c r="BD3" s="4"/>
      <c r="BE3" s="2"/>
      <c r="BF3" s="3"/>
      <c r="BG3" s="2"/>
      <c r="BH3" s="4"/>
    </row>
    <row r="4" spans="1:60" ht="13.9" customHeight="1" x14ac:dyDescent="0.15">
      <c r="A4" s="10">
        <v>2019</v>
      </c>
      <c r="B4" s="8">
        <v>1</v>
      </c>
      <c r="C4" s="67">
        <f>DATE(A4,B4,1)</f>
        <v>43466</v>
      </c>
      <c r="D4" s="35">
        <v>43474</v>
      </c>
      <c r="E4" s="11">
        <f t="shared" ref="E4:E12" si="3">D4</f>
        <v>43474</v>
      </c>
      <c r="F4" s="12" t="s">
        <v>6</v>
      </c>
      <c r="G4" s="4"/>
      <c r="H4" s="123"/>
      <c r="I4" s="78"/>
      <c r="J4" s="78"/>
      <c r="K4" s="78"/>
      <c r="L4" s="78"/>
      <c r="M4" s="78"/>
      <c r="N4" s="78"/>
      <c r="O4" s="112"/>
      <c r="P4" s="112"/>
      <c r="Q4" s="112"/>
      <c r="R4" s="112"/>
      <c r="S4" s="78"/>
      <c r="T4" s="78"/>
      <c r="U4" s="78"/>
      <c r="V4" s="78"/>
      <c r="W4" s="78"/>
      <c r="X4" s="112"/>
      <c r="Y4" s="78"/>
      <c r="Z4" s="78"/>
      <c r="AA4" s="78"/>
      <c r="AB4" s="78"/>
      <c r="AC4" s="78"/>
      <c r="AD4" s="78"/>
      <c r="AE4" s="78"/>
      <c r="AF4" s="78"/>
      <c r="AG4" s="78"/>
      <c r="AH4" s="79"/>
      <c r="AI4" s="79"/>
      <c r="AJ4" s="88"/>
      <c r="AK4" s="88"/>
      <c r="AL4" s="88"/>
      <c r="AM4" s="61"/>
      <c r="AN4" s="40"/>
      <c r="AO4" s="56"/>
      <c r="AP4" s="56"/>
      <c r="AQ4" s="56"/>
      <c r="AR4" s="20"/>
      <c r="AS4" s="21"/>
      <c r="AT4" s="27"/>
      <c r="AU4" s="27"/>
      <c r="AV4" s="27"/>
      <c r="AW4" s="27"/>
      <c r="AX4" s="27"/>
      <c r="AY4" s="28"/>
      <c r="AZ4" s="4"/>
      <c r="BA4" s="5"/>
      <c r="BB4" s="3"/>
      <c r="BC4" s="2"/>
      <c r="BD4" s="4"/>
      <c r="BE4" s="2"/>
      <c r="BF4" s="3"/>
      <c r="BG4" s="2"/>
      <c r="BH4" s="4"/>
    </row>
    <row r="5" spans="1:60" ht="13.9" customHeight="1" x14ac:dyDescent="0.15">
      <c r="A5" s="10">
        <v>2019</v>
      </c>
      <c r="B5" s="8">
        <v>1</v>
      </c>
      <c r="C5" s="67">
        <f t="shared" ref="C5:C68" si="4">DATE(A5,B5,1)</f>
        <v>43466</v>
      </c>
      <c r="D5" s="35">
        <v>43480</v>
      </c>
      <c r="E5" s="11">
        <f t="shared" si="3"/>
        <v>43480</v>
      </c>
      <c r="F5" s="12" t="s">
        <v>2</v>
      </c>
      <c r="G5" s="4"/>
      <c r="H5" s="124"/>
      <c r="I5" s="79"/>
      <c r="J5" s="79"/>
      <c r="K5" s="79"/>
      <c r="L5" s="79"/>
      <c r="M5" s="79"/>
      <c r="N5" s="79"/>
      <c r="O5" s="113"/>
      <c r="P5" s="113"/>
      <c r="Q5" s="113"/>
      <c r="R5" s="113"/>
      <c r="S5" s="79"/>
      <c r="T5" s="79"/>
      <c r="U5" s="79"/>
      <c r="V5" s="79"/>
      <c r="W5" s="79"/>
      <c r="X5" s="113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88"/>
      <c r="AK5" s="88"/>
      <c r="AL5" s="88"/>
      <c r="AM5" s="61"/>
      <c r="AN5" s="40"/>
      <c r="AO5" s="56"/>
      <c r="AP5" s="56"/>
      <c r="AQ5" s="56"/>
      <c r="AR5" s="22"/>
      <c r="AS5" s="23"/>
      <c r="AT5" s="29"/>
      <c r="AU5" s="29"/>
      <c r="AV5" s="29"/>
      <c r="AW5" s="29"/>
      <c r="AX5" s="29"/>
      <c r="AY5" s="30"/>
      <c r="AZ5" s="4"/>
      <c r="BA5" s="5"/>
      <c r="BB5" s="3"/>
      <c r="BC5" s="2"/>
      <c r="BD5" s="4"/>
      <c r="BE5" s="2"/>
      <c r="BF5" s="3"/>
      <c r="BG5" s="2"/>
      <c r="BH5" s="4"/>
    </row>
    <row r="6" spans="1:60" ht="13.9" customHeight="1" x14ac:dyDescent="0.15">
      <c r="A6" s="10">
        <v>2019</v>
      </c>
      <c r="B6" s="8">
        <v>1</v>
      </c>
      <c r="C6" s="67">
        <f t="shared" si="4"/>
        <v>43466</v>
      </c>
      <c r="D6" s="35">
        <v>43488</v>
      </c>
      <c r="E6" s="11">
        <f t="shared" si="3"/>
        <v>43488</v>
      </c>
      <c r="F6" s="12" t="s">
        <v>16</v>
      </c>
      <c r="G6" s="4"/>
      <c r="H6" s="124"/>
      <c r="I6" s="79"/>
      <c r="J6" s="79"/>
      <c r="K6" s="79"/>
      <c r="L6" s="79"/>
      <c r="M6" s="79"/>
      <c r="N6" s="79"/>
      <c r="O6" s="113"/>
      <c r="P6" s="113"/>
      <c r="Q6" s="113"/>
      <c r="R6" s="113"/>
      <c r="S6" s="79"/>
      <c r="T6" s="79"/>
      <c r="U6" s="79"/>
      <c r="V6" s="79"/>
      <c r="W6" s="79"/>
      <c r="X6" s="113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88"/>
      <c r="AK6" s="88"/>
      <c r="AL6" s="88"/>
      <c r="AM6" s="61"/>
      <c r="AN6" s="40"/>
      <c r="AO6" s="56"/>
      <c r="AP6" s="56"/>
      <c r="AQ6" s="56"/>
      <c r="AR6" s="22"/>
      <c r="AS6" s="23"/>
      <c r="AT6" s="29"/>
      <c r="AU6" s="29"/>
      <c r="AV6" s="29"/>
      <c r="AW6" s="29"/>
      <c r="AX6" s="29"/>
      <c r="AY6" s="30"/>
      <c r="AZ6" s="4"/>
      <c r="BA6" s="5"/>
      <c r="BB6" s="3"/>
      <c r="BC6" s="2"/>
      <c r="BD6" s="4"/>
      <c r="BE6" s="2"/>
      <c r="BF6" s="3"/>
      <c r="BG6" s="2"/>
      <c r="BH6" s="4"/>
    </row>
    <row r="7" spans="1:60" ht="13.9" customHeight="1" x14ac:dyDescent="0.15">
      <c r="A7" s="10">
        <v>2019</v>
      </c>
      <c r="B7" s="8" t="s">
        <v>25</v>
      </c>
      <c r="C7" s="67">
        <f t="shared" si="4"/>
        <v>43497</v>
      </c>
      <c r="D7" s="35">
        <v>43509</v>
      </c>
      <c r="E7" s="11">
        <f t="shared" si="3"/>
        <v>43509</v>
      </c>
      <c r="F7" s="12" t="s">
        <v>5</v>
      </c>
      <c r="G7" s="4"/>
      <c r="H7" s="124"/>
      <c r="I7" s="79"/>
      <c r="J7" s="79"/>
      <c r="K7" s="79"/>
      <c r="L7" s="79"/>
      <c r="M7" s="79"/>
      <c r="N7" s="79"/>
      <c r="O7" s="113"/>
      <c r="P7" s="113"/>
      <c r="Q7" s="113"/>
      <c r="R7" s="113"/>
      <c r="S7" s="79"/>
      <c r="T7" s="79"/>
      <c r="U7" s="79"/>
      <c r="V7" s="79"/>
      <c r="W7" s="79"/>
      <c r="X7" s="113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88"/>
      <c r="AK7" s="88"/>
      <c r="AL7" s="88"/>
      <c r="AM7" s="61"/>
      <c r="AN7" s="40"/>
      <c r="AO7" s="56"/>
      <c r="AP7" s="56"/>
      <c r="AQ7" s="56"/>
      <c r="AR7" s="22"/>
      <c r="AS7" s="23"/>
      <c r="AT7" s="29"/>
      <c r="AU7" s="29"/>
      <c r="AV7" s="29"/>
      <c r="AW7" s="29"/>
      <c r="AX7" s="29"/>
      <c r="AY7" s="30"/>
      <c r="AZ7" s="4"/>
      <c r="BA7" s="5"/>
      <c r="BB7" s="3"/>
      <c r="BC7" s="2"/>
      <c r="BD7" s="4"/>
      <c r="BE7" s="2"/>
      <c r="BF7" s="3"/>
      <c r="BG7" s="2"/>
      <c r="BH7" s="4"/>
    </row>
    <row r="8" spans="1:60" ht="13.9" customHeight="1" x14ac:dyDescent="0.15">
      <c r="A8" s="10">
        <v>2019</v>
      </c>
      <c r="B8" s="8" t="s">
        <v>25</v>
      </c>
      <c r="C8" s="67">
        <f t="shared" si="4"/>
        <v>43497</v>
      </c>
      <c r="D8" s="35">
        <v>43515</v>
      </c>
      <c r="E8" s="11">
        <f t="shared" si="3"/>
        <v>43515</v>
      </c>
      <c r="F8" s="12" t="s">
        <v>17</v>
      </c>
      <c r="G8" s="4"/>
      <c r="H8" s="124"/>
      <c r="I8" s="79"/>
      <c r="J8" s="79"/>
      <c r="K8" s="79"/>
      <c r="L8" s="79"/>
      <c r="M8" s="79"/>
      <c r="N8" s="79"/>
      <c r="O8" s="113"/>
      <c r="P8" s="113"/>
      <c r="Q8" s="113"/>
      <c r="R8" s="113"/>
      <c r="S8" s="79"/>
      <c r="T8" s="79"/>
      <c r="U8" s="79"/>
      <c r="V8" s="79"/>
      <c r="W8" s="79"/>
      <c r="X8" s="113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88"/>
      <c r="AK8" s="88"/>
      <c r="AL8" s="88"/>
      <c r="AM8" s="61"/>
      <c r="AN8" s="40"/>
      <c r="AO8" s="56"/>
      <c r="AP8" s="56"/>
      <c r="AQ8" s="56"/>
      <c r="AR8" s="22"/>
      <c r="AS8" s="23"/>
      <c r="AT8" s="29"/>
      <c r="AU8" s="29"/>
      <c r="AV8" s="29"/>
      <c r="AW8" s="29"/>
      <c r="AX8" s="29"/>
      <c r="AY8" s="30"/>
      <c r="AZ8" s="4"/>
      <c r="BA8" s="5"/>
      <c r="BB8" s="3"/>
      <c r="BC8" s="2"/>
      <c r="BD8" s="4"/>
      <c r="BE8" s="2"/>
      <c r="BF8" s="3"/>
      <c r="BG8" s="2"/>
      <c r="BH8" s="4"/>
    </row>
    <row r="9" spans="1:60" ht="13.9" customHeight="1" x14ac:dyDescent="0.15">
      <c r="A9" s="10">
        <v>2019</v>
      </c>
      <c r="B9" s="8" t="s">
        <v>25</v>
      </c>
      <c r="C9" s="67">
        <f t="shared" si="4"/>
        <v>43497</v>
      </c>
      <c r="D9" s="35">
        <v>43523</v>
      </c>
      <c r="E9" s="11">
        <f t="shared" si="3"/>
        <v>43523</v>
      </c>
      <c r="F9" s="12" t="s">
        <v>3</v>
      </c>
      <c r="G9" s="4"/>
      <c r="H9" s="124"/>
      <c r="I9" s="79"/>
      <c r="J9" s="79"/>
      <c r="K9" s="79"/>
      <c r="L9" s="79"/>
      <c r="M9" s="79"/>
      <c r="N9" s="79"/>
      <c r="O9" s="113"/>
      <c r="P9" s="113"/>
      <c r="Q9" s="113"/>
      <c r="R9" s="113"/>
      <c r="S9" s="79"/>
      <c r="T9" s="79"/>
      <c r="U9" s="79"/>
      <c r="V9" s="79"/>
      <c r="W9" s="79"/>
      <c r="X9" s="113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88"/>
      <c r="AK9" s="88"/>
      <c r="AL9" s="88"/>
      <c r="AM9" s="61"/>
      <c r="AN9" s="40"/>
      <c r="AO9" s="56"/>
      <c r="AP9" s="56"/>
      <c r="AQ9" s="56"/>
      <c r="AR9" s="22"/>
      <c r="AS9" s="23"/>
      <c r="AT9" s="29"/>
      <c r="AU9" s="29"/>
      <c r="AV9" s="29"/>
      <c r="AW9" s="29"/>
      <c r="AX9" s="29"/>
      <c r="AY9" s="30"/>
      <c r="AZ9" s="4"/>
      <c r="BA9" s="5"/>
      <c r="BB9" s="3"/>
      <c r="BC9" s="2"/>
      <c r="BD9" s="4"/>
      <c r="BE9" s="2"/>
      <c r="BF9" s="3"/>
      <c r="BG9" s="2"/>
      <c r="BH9" s="4"/>
    </row>
    <row r="10" spans="1:60" ht="13.9" customHeight="1" x14ac:dyDescent="0.15">
      <c r="A10" s="10">
        <v>2019</v>
      </c>
      <c r="B10" s="8" t="s">
        <v>26</v>
      </c>
      <c r="C10" s="67">
        <f t="shared" si="4"/>
        <v>43525</v>
      </c>
      <c r="D10" s="35">
        <v>43537</v>
      </c>
      <c r="E10" s="11">
        <f t="shared" si="3"/>
        <v>43537</v>
      </c>
      <c r="F10" s="12" t="s">
        <v>0</v>
      </c>
      <c r="G10" s="4"/>
      <c r="H10" s="124"/>
      <c r="I10" s="79"/>
      <c r="J10" s="79"/>
      <c r="K10" s="79"/>
      <c r="L10" s="79"/>
      <c r="M10" s="79"/>
      <c r="N10" s="79"/>
      <c r="O10" s="113"/>
      <c r="P10" s="113"/>
      <c r="Q10" s="113"/>
      <c r="R10" s="113"/>
      <c r="S10" s="79"/>
      <c r="T10" s="79"/>
      <c r="U10" s="79"/>
      <c r="V10" s="79"/>
      <c r="W10" s="79"/>
      <c r="X10" s="113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88"/>
      <c r="AK10" s="88"/>
      <c r="AL10" s="88"/>
      <c r="AM10" s="61"/>
      <c r="AN10" s="40"/>
      <c r="AO10" s="56"/>
      <c r="AP10" s="56"/>
      <c r="AQ10" s="56"/>
      <c r="AR10" s="22"/>
      <c r="AS10" s="23"/>
      <c r="AT10" s="29"/>
      <c r="AU10" s="29"/>
      <c r="AV10" s="29"/>
      <c r="AW10" s="29"/>
      <c r="AX10" s="29"/>
      <c r="AY10" s="30"/>
      <c r="AZ10" s="4"/>
      <c r="BA10" s="5"/>
      <c r="BB10" s="3"/>
      <c r="BC10" s="2"/>
      <c r="BD10" s="4"/>
      <c r="BE10" s="2"/>
      <c r="BF10" s="3"/>
      <c r="BG10" s="2"/>
      <c r="BH10" s="4"/>
    </row>
    <row r="11" spans="1:60" ht="13.9" customHeight="1" x14ac:dyDescent="0.15">
      <c r="A11" s="10">
        <v>2019</v>
      </c>
      <c r="B11" s="8" t="s">
        <v>27</v>
      </c>
      <c r="C11" s="67">
        <f t="shared" si="4"/>
        <v>43525</v>
      </c>
      <c r="D11" s="35">
        <v>43543</v>
      </c>
      <c r="E11" s="11">
        <f t="shared" si="3"/>
        <v>43543</v>
      </c>
      <c r="F11" s="12" t="s">
        <v>4</v>
      </c>
      <c r="G11" s="4"/>
      <c r="H11" s="124"/>
      <c r="I11" s="79"/>
      <c r="J11" s="79"/>
      <c r="K11" s="79"/>
      <c r="L11" s="79"/>
      <c r="M11" s="79"/>
      <c r="N11" s="79"/>
      <c r="O11" s="113"/>
      <c r="P11" s="113"/>
      <c r="Q11" s="113"/>
      <c r="R11" s="113"/>
      <c r="S11" s="79"/>
      <c r="T11" s="79"/>
      <c r="U11" s="79"/>
      <c r="V11" s="79"/>
      <c r="W11" s="79"/>
      <c r="X11" s="113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88"/>
      <c r="AK11" s="88"/>
      <c r="AL11" s="88"/>
      <c r="AM11" s="61"/>
      <c r="AN11" s="40"/>
      <c r="AO11" s="56"/>
      <c r="AP11" s="56"/>
      <c r="AQ11" s="56"/>
      <c r="AR11" s="22"/>
      <c r="AS11" s="23"/>
      <c r="AT11" s="29"/>
      <c r="AU11" s="29"/>
      <c r="AV11" s="29"/>
      <c r="AW11" s="29"/>
      <c r="AX11" s="29"/>
      <c r="AY11" s="30"/>
      <c r="AZ11" s="4"/>
      <c r="BA11" s="5"/>
      <c r="BB11" s="3"/>
      <c r="BC11" s="2"/>
      <c r="BD11" s="4"/>
      <c r="BE11" s="2"/>
      <c r="BF11" s="3"/>
      <c r="BG11" s="2"/>
      <c r="BH11" s="4"/>
    </row>
    <row r="12" spans="1:60" ht="13.9" customHeight="1" x14ac:dyDescent="0.15">
      <c r="A12" s="10">
        <v>2019</v>
      </c>
      <c r="B12" s="8" t="s">
        <v>26</v>
      </c>
      <c r="C12" s="67">
        <f t="shared" si="4"/>
        <v>43525</v>
      </c>
      <c r="D12" s="35">
        <v>43551</v>
      </c>
      <c r="E12" s="11">
        <f t="shared" si="3"/>
        <v>43551</v>
      </c>
      <c r="F12" s="12" t="s">
        <v>1</v>
      </c>
      <c r="G12" s="4"/>
      <c r="H12" s="124"/>
      <c r="I12" s="79"/>
      <c r="J12" s="79"/>
      <c r="K12" s="79"/>
      <c r="L12" s="79"/>
      <c r="M12" s="79"/>
      <c r="N12" s="79"/>
      <c r="O12" s="113"/>
      <c r="P12" s="113"/>
      <c r="Q12" s="113"/>
      <c r="R12" s="113"/>
      <c r="S12" s="79"/>
      <c r="T12" s="79"/>
      <c r="U12" s="79"/>
      <c r="V12" s="79"/>
      <c r="W12" s="79"/>
      <c r="X12" s="113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88"/>
      <c r="AK12" s="88"/>
      <c r="AL12" s="88"/>
      <c r="AM12" s="61"/>
      <c r="AN12" s="40"/>
      <c r="AO12" s="56"/>
      <c r="AP12" s="56"/>
      <c r="AQ12" s="56"/>
      <c r="AR12" s="22"/>
      <c r="AS12" s="23"/>
      <c r="AT12" s="29"/>
      <c r="AU12" s="29"/>
      <c r="AV12" s="29"/>
      <c r="AW12" s="29"/>
      <c r="AX12" s="29"/>
      <c r="AY12" s="30"/>
      <c r="AZ12" s="4"/>
      <c r="BA12" s="5"/>
      <c r="BB12" s="3"/>
      <c r="BC12" s="2"/>
      <c r="BD12" s="4"/>
      <c r="BE12" s="2"/>
      <c r="BF12" s="3"/>
      <c r="BG12" s="2"/>
      <c r="BH12" s="4"/>
    </row>
    <row r="13" spans="1:60" ht="13.9" customHeight="1" x14ac:dyDescent="0.15">
      <c r="A13" s="10">
        <v>2019</v>
      </c>
      <c r="B13" s="8" t="s">
        <v>28</v>
      </c>
      <c r="C13" s="67">
        <f t="shared" si="4"/>
        <v>43556</v>
      </c>
      <c r="D13" s="36">
        <v>43565</v>
      </c>
      <c r="E13" s="13">
        <f>D13</f>
        <v>43565</v>
      </c>
      <c r="F13" s="14" t="str">
        <f t="shared" ref="F13:F16" si="5">IFERROR(INDEX($H$1:$AH$1,1,MATCH(1,H13:AH13)),"")</f>
        <v/>
      </c>
      <c r="H13" s="125"/>
      <c r="I13" s="80"/>
      <c r="J13" s="80"/>
      <c r="K13" s="80"/>
      <c r="L13" s="80"/>
      <c r="M13" s="80"/>
      <c r="N13" s="80"/>
      <c r="O13" s="114"/>
      <c r="P13" s="114"/>
      <c r="Q13" s="114"/>
      <c r="R13" s="114"/>
      <c r="S13" s="80"/>
      <c r="T13" s="80"/>
      <c r="U13" s="80"/>
      <c r="V13" s="80"/>
      <c r="W13" s="80"/>
      <c r="X13" s="114"/>
      <c r="Y13" s="80"/>
      <c r="Z13" s="80"/>
      <c r="AA13" s="80"/>
      <c r="AB13" s="80"/>
      <c r="AC13" s="80"/>
      <c r="AD13" s="80"/>
      <c r="AE13" s="80"/>
      <c r="AF13" s="80"/>
      <c r="AG13" s="80"/>
      <c r="AH13" s="81"/>
      <c r="AI13" s="81"/>
      <c r="AJ13" s="89"/>
      <c r="AK13" s="89"/>
      <c r="AL13" s="89"/>
      <c r="AM13" s="62"/>
      <c r="AN13" s="41"/>
      <c r="AR13" s="24"/>
      <c r="AS13" s="25"/>
      <c r="AT13" s="31"/>
      <c r="AU13" s="31"/>
      <c r="AV13" s="31"/>
      <c r="AW13" s="31"/>
      <c r="AX13" s="31"/>
      <c r="AY13" s="32"/>
      <c r="BA13" s="5"/>
      <c r="BB13" s="6"/>
      <c r="BC13" s="2"/>
      <c r="BE13" s="7"/>
      <c r="BF13" s="6"/>
      <c r="BG13" s="2"/>
    </row>
    <row r="14" spans="1:60" ht="13.9" customHeight="1" x14ac:dyDescent="0.15">
      <c r="A14" s="10">
        <v>2019</v>
      </c>
      <c r="B14" s="8" t="s">
        <v>28</v>
      </c>
      <c r="C14" s="67">
        <f t="shared" si="4"/>
        <v>43556</v>
      </c>
      <c r="D14" s="36">
        <v>43571</v>
      </c>
      <c r="E14" s="13">
        <f t="shared" ref="E14:E39" si="6">D14</f>
        <v>43571</v>
      </c>
      <c r="F14" s="14" t="str">
        <f t="shared" si="5"/>
        <v>平田 恵哉</v>
      </c>
      <c r="H14" s="72"/>
      <c r="I14" s="81"/>
      <c r="J14" s="81"/>
      <c r="K14" s="81"/>
      <c r="L14" s="81"/>
      <c r="M14" s="81"/>
      <c r="N14" s="81"/>
      <c r="O14" s="115"/>
      <c r="P14" s="115"/>
      <c r="Q14" s="115"/>
      <c r="R14" s="115"/>
      <c r="S14" s="81"/>
      <c r="T14" s="81"/>
      <c r="U14" s="81">
        <v>1</v>
      </c>
      <c r="V14" s="81"/>
      <c r="W14" s="81"/>
      <c r="X14" s="115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89"/>
      <c r="AK14" s="89"/>
      <c r="AL14" s="89"/>
      <c r="AM14" s="62"/>
      <c r="AN14" s="41"/>
      <c r="AR14" s="22"/>
      <c r="AS14" s="23"/>
      <c r="AT14" s="29"/>
      <c r="AU14" s="29"/>
      <c r="AV14" s="29"/>
      <c r="AW14" s="29"/>
      <c r="AX14" s="29"/>
      <c r="AY14" s="30"/>
      <c r="BA14" s="5"/>
      <c r="BB14" s="6"/>
      <c r="BC14" s="2"/>
      <c r="BE14" s="7"/>
      <c r="BF14" s="6"/>
      <c r="BG14" s="2"/>
    </row>
    <row r="15" spans="1:60" ht="13.9" customHeight="1" x14ac:dyDescent="0.15">
      <c r="A15" s="10">
        <v>2019</v>
      </c>
      <c r="B15" s="8" t="s">
        <v>28</v>
      </c>
      <c r="C15" s="67">
        <f t="shared" si="4"/>
        <v>43556</v>
      </c>
      <c r="D15" s="36">
        <v>43579</v>
      </c>
      <c r="E15" s="13">
        <f t="shared" si="6"/>
        <v>43579</v>
      </c>
      <c r="F15" s="14" t="str">
        <f t="shared" si="5"/>
        <v>小竹　祐太朗　</v>
      </c>
      <c r="H15" s="72"/>
      <c r="I15" s="81"/>
      <c r="J15" s="81"/>
      <c r="K15" s="81"/>
      <c r="L15" s="81"/>
      <c r="M15" s="81">
        <v>1</v>
      </c>
      <c r="N15" s="81"/>
      <c r="O15" s="115"/>
      <c r="P15" s="115"/>
      <c r="Q15" s="115"/>
      <c r="R15" s="115"/>
      <c r="S15" s="81"/>
      <c r="T15" s="81"/>
      <c r="U15" s="81"/>
      <c r="V15" s="81"/>
      <c r="W15" s="81"/>
      <c r="X15" s="115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9"/>
      <c r="AK15" s="89"/>
      <c r="AL15" s="89"/>
      <c r="AM15" s="62"/>
      <c r="AN15" s="41"/>
      <c r="AR15" s="22"/>
      <c r="AS15" s="23"/>
      <c r="AT15" s="29"/>
      <c r="AU15" s="29"/>
      <c r="AV15" s="29"/>
      <c r="AW15" s="29"/>
      <c r="AX15" s="29"/>
      <c r="AY15" s="30"/>
      <c r="BA15" s="5"/>
      <c r="BB15" s="6"/>
      <c r="BC15" s="2"/>
      <c r="BE15" s="7"/>
      <c r="BF15" s="6"/>
      <c r="BG15" s="2"/>
    </row>
    <row r="16" spans="1:60" ht="13.9" customHeight="1" x14ac:dyDescent="0.15">
      <c r="A16" s="10">
        <v>2019</v>
      </c>
      <c r="B16" s="8" t="s">
        <v>29</v>
      </c>
      <c r="C16" s="67">
        <f t="shared" si="4"/>
        <v>43586</v>
      </c>
      <c r="D16" s="36">
        <v>43593</v>
      </c>
      <c r="E16" s="13">
        <f t="shared" si="6"/>
        <v>43593</v>
      </c>
      <c r="F16" s="14" t="str">
        <f t="shared" si="5"/>
        <v>大橋 効</v>
      </c>
      <c r="H16" s="72"/>
      <c r="I16" s="81"/>
      <c r="J16" s="81"/>
      <c r="K16" s="81"/>
      <c r="L16" s="81"/>
      <c r="M16" s="81"/>
      <c r="N16" s="81"/>
      <c r="O16" s="115">
        <v>1</v>
      </c>
      <c r="P16" s="115"/>
      <c r="Q16" s="115"/>
      <c r="R16" s="115"/>
      <c r="S16" s="81"/>
      <c r="T16" s="81"/>
      <c r="U16" s="81"/>
      <c r="V16" s="81"/>
      <c r="W16" s="81"/>
      <c r="X16" s="115"/>
      <c r="Y16" s="81"/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9"/>
      <c r="AK16" s="89"/>
      <c r="AL16" s="89"/>
      <c r="AM16" s="62"/>
      <c r="AN16" s="41"/>
      <c r="AR16" s="22"/>
      <c r="AS16" s="23"/>
      <c r="AT16" s="29"/>
      <c r="AU16" s="29"/>
      <c r="AV16" s="29"/>
      <c r="AW16" s="29"/>
      <c r="AX16" s="29"/>
      <c r="AY16" s="30"/>
      <c r="BA16" s="5"/>
      <c r="BB16" s="6"/>
      <c r="BC16" s="2"/>
      <c r="BE16" s="7"/>
      <c r="BF16" s="6"/>
      <c r="BG16" s="2"/>
    </row>
    <row r="17" spans="1:59" ht="13.9" customHeight="1" x14ac:dyDescent="0.15">
      <c r="A17" s="10">
        <v>2019</v>
      </c>
      <c r="B17" s="8" t="s">
        <v>29</v>
      </c>
      <c r="C17" s="67">
        <f t="shared" si="4"/>
        <v>43586</v>
      </c>
      <c r="D17" s="36">
        <v>43599</v>
      </c>
      <c r="E17" s="13">
        <f t="shared" si="6"/>
        <v>43599</v>
      </c>
      <c r="F17" s="14" t="str">
        <f t="shared" ref="F17:F27" si="7">IFERROR(INDEX($H$1:$AH$1,1,MATCH(1,H17:AH17)),"")</f>
        <v>菅野　祐萌</v>
      </c>
      <c r="H17" s="72"/>
      <c r="I17" s="81"/>
      <c r="J17" s="81"/>
      <c r="K17" s="81"/>
      <c r="L17" s="81"/>
      <c r="M17" s="81"/>
      <c r="N17" s="81"/>
      <c r="O17" s="115"/>
      <c r="P17" s="115"/>
      <c r="Q17" s="115"/>
      <c r="R17" s="115"/>
      <c r="S17" s="81">
        <v>1</v>
      </c>
      <c r="T17" s="81"/>
      <c r="U17" s="81"/>
      <c r="V17" s="81"/>
      <c r="W17" s="81"/>
      <c r="X17" s="115"/>
      <c r="Y17" s="81"/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9"/>
      <c r="AK17" s="89"/>
      <c r="AL17" s="89"/>
      <c r="AM17" s="62"/>
      <c r="AN17" s="41"/>
      <c r="AR17" s="22"/>
      <c r="AS17" s="23"/>
      <c r="AT17" s="29"/>
      <c r="AU17" s="29"/>
      <c r="AV17" s="29"/>
      <c r="AW17" s="29"/>
      <c r="AX17" s="29"/>
      <c r="AY17" s="30"/>
      <c r="BA17" s="5"/>
      <c r="BB17" s="6"/>
      <c r="BC17" s="2"/>
      <c r="BE17" s="7"/>
      <c r="BF17" s="6"/>
      <c r="BG17" s="2"/>
    </row>
    <row r="18" spans="1:59" ht="13.9" customHeight="1" x14ac:dyDescent="0.15">
      <c r="A18" s="10">
        <v>2019</v>
      </c>
      <c r="B18" s="8" t="s">
        <v>29</v>
      </c>
      <c r="C18" s="67">
        <f t="shared" si="4"/>
        <v>43586</v>
      </c>
      <c r="D18" s="36">
        <v>43607</v>
      </c>
      <c r="E18" s="13">
        <f t="shared" si="6"/>
        <v>43607</v>
      </c>
      <c r="F18" s="14" t="str">
        <f t="shared" si="7"/>
        <v>薬司 康平</v>
      </c>
      <c r="H18" s="72"/>
      <c r="I18" s="81"/>
      <c r="J18" s="81"/>
      <c r="K18" s="81"/>
      <c r="L18" s="81"/>
      <c r="M18" s="81"/>
      <c r="N18" s="81"/>
      <c r="O18" s="115"/>
      <c r="P18" s="115"/>
      <c r="Q18" s="115"/>
      <c r="R18" s="115"/>
      <c r="S18" s="81"/>
      <c r="T18" s="81"/>
      <c r="U18" s="81"/>
      <c r="V18" s="81"/>
      <c r="W18" s="81"/>
      <c r="X18" s="115"/>
      <c r="Y18" s="81"/>
      <c r="Z18" s="81"/>
      <c r="AA18" s="81"/>
      <c r="AB18" s="81"/>
      <c r="AC18" s="81"/>
      <c r="AD18" s="81"/>
      <c r="AE18" s="81"/>
      <c r="AF18" s="81"/>
      <c r="AG18" s="81">
        <v>1</v>
      </c>
      <c r="AH18" s="81"/>
      <c r="AI18" s="81"/>
      <c r="AJ18" s="89"/>
      <c r="AK18" s="89"/>
      <c r="AL18" s="89"/>
      <c r="AM18" s="62"/>
      <c r="AN18" s="41"/>
      <c r="AR18" s="22"/>
      <c r="AS18" s="23"/>
      <c r="AT18" s="29"/>
      <c r="AU18" s="29"/>
      <c r="AV18" s="29"/>
      <c r="AW18" s="29"/>
      <c r="AX18" s="29"/>
      <c r="AY18" s="30"/>
      <c r="BA18" s="5"/>
      <c r="BB18" s="6"/>
      <c r="BC18" s="2"/>
      <c r="BE18" s="7"/>
      <c r="BF18" s="6"/>
      <c r="BG18" s="2"/>
    </row>
    <row r="19" spans="1:59" ht="13.9" customHeight="1" x14ac:dyDescent="0.15">
      <c r="A19" s="10">
        <v>2019</v>
      </c>
      <c r="B19" s="8" t="s">
        <v>30</v>
      </c>
      <c r="C19" s="67">
        <f t="shared" si="4"/>
        <v>43617</v>
      </c>
      <c r="D19" s="36">
        <v>43628</v>
      </c>
      <c r="E19" s="13">
        <f t="shared" si="6"/>
        <v>43628</v>
      </c>
      <c r="F19" s="14" t="str">
        <f t="shared" si="7"/>
        <v>西明 千織</v>
      </c>
      <c r="H19" s="72">
        <v>1</v>
      </c>
      <c r="I19" s="81"/>
      <c r="J19" s="81"/>
      <c r="K19" s="81"/>
      <c r="L19" s="81"/>
      <c r="M19" s="81"/>
      <c r="N19" s="81"/>
      <c r="O19" s="115"/>
      <c r="P19" s="115"/>
      <c r="Q19" s="115"/>
      <c r="R19" s="115"/>
      <c r="S19" s="81"/>
      <c r="T19" s="81"/>
      <c r="U19" s="81"/>
      <c r="V19" s="81"/>
      <c r="W19" s="81"/>
      <c r="X19" s="115"/>
      <c r="Y19" s="81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9"/>
      <c r="AK19" s="89"/>
      <c r="AL19" s="89"/>
      <c r="AM19" s="62"/>
      <c r="AN19" s="41"/>
      <c r="AR19" s="22"/>
      <c r="AS19" s="23"/>
      <c r="AT19" s="29"/>
      <c r="AU19" s="29"/>
      <c r="AV19" s="29"/>
      <c r="AW19" s="29"/>
      <c r="AX19" s="29"/>
      <c r="AY19" s="30"/>
      <c r="BA19" s="5"/>
      <c r="BB19" s="6"/>
      <c r="BC19" s="2"/>
      <c r="BE19" s="7"/>
      <c r="BF19" s="6"/>
      <c r="BG19" s="2"/>
    </row>
    <row r="20" spans="1:59" ht="13.9" customHeight="1" x14ac:dyDescent="0.15">
      <c r="A20" s="10">
        <v>2019</v>
      </c>
      <c r="B20" s="8" t="s">
        <v>30</v>
      </c>
      <c r="C20" s="67">
        <f t="shared" si="4"/>
        <v>43617</v>
      </c>
      <c r="D20" s="36">
        <v>43634</v>
      </c>
      <c r="E20" s="13">
        <f t="shared" si="6"/>
        <v>43634</v>
      </c>
      <c r="F20" s="14" t="str">
        <f t="shared" si="7"/>
        <v>長迫 千寛</v>
      </c>
      <c r="H20" s="72"/>
      <c r="I20" s="81"/>
      <c r="J20" s="81"/>
      <c r="K20" s="81"/>
      <c r="L20" s="81"/>
      <c r="M20" s="81"/>
      <c r="N20" s="81"/>
      <c r="O20" s="115"/>
      <c r="P20" s="115"/>
      <c r="Q20" s="115"/>
      <c r="R20" s="115"/>
      <c r="S20" s="81"/>
      <c r="T20" s="81"/>
      <c r="U20" s="81"/>
      <c r="V20" s="81"/>
      <c r="W20" s="81"/>
      <c r="X20" s="115">
        <v>1</v>
      </c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9"/>
      <c r="AK20" s="89"/>
      <c r="AL20" s="89"/>
      <c r="AM20" s="62"/>
      <c r="AN20" s="41"/>
      <c r="AR20" s="22"/>
      <c r="AS20" s="23"/>
      <c r="AT20" s="29"/>
      <c r="AU20" s="29"/>
      <c r="AV20" s="29"/>
      <c r="AW20" s="29"/>
      <c r="AX20" s="29"/>
      <c r="AY20" s="30"/>
      <c r="BA20" s="7"/>
      <c r="BB20" s="6"/>
      <c r="BC20" s="2"/>
      <c r="BE20" s="7"/>
      <c r="BF20" s="6"/>
      <c r="BG20" s="2"/>
    </row>
    <row r="21" spans="1:59" ht="13.9" customHeight="1" x14ac:dyDescent="0.15">
      <c r="A21" s="10">
        <v>2019</v>
      </c>
      <c r="B21" s="8" t="s">
        <v>33</v>
      </c>
      <c r="C21" s="67">
        <f t="shared" si="4"/>
        <v>43617</v>
      </c>
      <c r="D21" s="36">
        <v>43642</v>
      </c>
      <c r="E21" s="13">
        <f t="shared" si="6"/>
        <v>43642</v>
      </c>
      <c r="F21" s="14" t="str">
        <f t="shared" si="7"/>
        <v>村崎 祐一</v>
      </c>
      <c r="H21" s="72"/>
      <c r="I21" s="81"/>
      <c r="J21" s="81"/>
      <c r="K21" s="81"/>
      <c r="L21" s="81"/>
      <c r="M21" s="81"/>
      <c r="N21" s="81"/>
      <c r="O21" s="115"/>
      <c r="P21" s="115"/>
      <c r="Q21" s="115"/>
      <c r="R21" s="115"/>
      <c r="S21" s="81"/>
      <c r="T21" s="81"/>
      <c r="U21" s="81"/>
      <c r="V21" s="81"/>
      <c r="W21" s="81"/>
      <c r="X21" s="115"/>
      <c r="Y21" s="81"/>
      <c r="Z21" s="81"/>
      <c r="AA21" s="81"/>
      <c r="AB21" s="81"/>
      <c r="AC21" s="81"/>
      <c r="AD21" s="81">
        <v>1</v>
      </c>
      <c r="AE21" s="81"/>
      <c r="AF21" s="81"/>
      <c r="AG21" s="81"/>
      <c r="AH21" s="81"/>
      <c r="AI21" s="81"/>
      <c r="AJ21" s="89"/>
      <c r="AK21" s="89"/>
      <c r="AL21" s="89"/>
      <c r="AM21" s="62"/>
      <c r="AN21" s="41"/>
      <c r="AR21" s="22"/>
      <c r="AS21" s="23"/>
      <c r="AT21" s="29"/>
      <c r="AU21" s="29"/>
      <c r="AV21" s="29"/>
      <c r="AW21" s="29"/>
      <c r="AX21" s="29"/>
      <c r="AY21" s="30"/>
      <c r="BA21" s="7"/>
      <c r="BB21" s="6"/>
      <c r="BC21" s="2"/>
      <c r="BE21" s="7"/>
      <c r="BF21" s="6"/>
      <c r="BG21" s="2"/>
    </row>
    <row r="22" spans="1:59" ht="13.9" customHeight="1" x14ac:dyDescent="0.15">
      <c r="A22" s="10">
        <v>2019</v>
      </c>
      <c r="B22" s="8" t="s">
        <v>34</v>
      </c>
      <c r="C22" s="67">
        <f t="shared" si="4"/>
        <v>43647</v>
      </c>
      <c r="D22" s="36">
        <v>43656</v>
      </c>
      <c r="E22" s="13">
        <f t="shared" si="6"/>
        <v>43656</v>
      </c>
      <c r="F22" s="14" t="str">
        <f t="shared" si="7"/>
        <v>小竹　祐太朗　</v>
      </c>
      <c r="H22" s="72"/>
      <c r="I22" s="81"/>
      <c r="J22" s="81"/>
      <c r="K22" s="81"/>
      <c r="L22" s="81"/>
      <c r="M22" s="81">
        <v>1</v>
      </c>
      <c r="N22" s="81"/>
      <c r="O22" s="115"/>
      <c r="P22" s="115"/>
      <c r="Q22" s="115"/>
      <c r="R22" s="115"/>
      <c r="S22" s="81"/>
      <c r="T22" s="81"/>
      <c r="U22" s="81"/>
      <c r="V22" s="81"/>
      <c r="W22" s="81"/>
      <c r="X22" s="115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89"/>
      <c r="AK22" s="89"/>
      <c r="AL22" s="89"/>
      <c r="AM22" s="62"/>
      <c r="AN22" s="41"/>
      <c r="AR22" s="22"/>
      <c r="AS22" s="23"/>
      <c r="AT22" s="29"/>
      <c r="AU22" s="29"/>
      <c r="AV22" s="29"/>
      <c r="AW22" s="29"/>
      <c r="AX22" s="29"/>
      <c r="AY22" s="30"/>
      <c r="BA22" s="7"/>
      <c r="BB22" s="6"/>
      <c r="BC22" s="2"/>
      <c r="BE22" s="7"/>
      <c r="BF22" s="6"/>
      <c r="BG22" s="2"/>
    </row>
    <row r="23" spans="1:59" ht="13.9" customHeight="1" x14ac:dyDescent="0.15">
      <c r="A23" s="10">
        <v>2019</v>
      </c>
      <c r="B23" s="8" t="s">
        <v>35</v>
      </c>
      <c r="C23" s="67">
        <f t="shared" si="4"/>
        <v>43647</v>
      </c>
      <c r="D23" s="36">
        <v>43662</v>
      </c>
      <c r="E23" s="13">
        <f t="shared" si="6"/>
        <v>43662</v>
      </c>
      <c r="F23" s="14" t="str">
        <f t="shared" si="7"/>
        <v>薬司 康平</v>
      </c>
      <c r="H23" s="72"/>
      <c r="I23" s="81"/>
      <c r="J23" s="81"/>
      <c r="K23" s="81"/>
      <c r="L23" s="81"/>
      <c r="M23" s="81"/>
      <c r="N23" s="81"/>
      <c r="O23" s="115"/>
      <c r="P23" s="115"/>
      <c r="Q23" s="115"/>
      <c r="R23" s="115"/>
      <c r="S23" s="81"/>
      <c r="T23" s="81"/>
      <c r="U23" s="81"/>
      <c r="V23" s="81"/>
      <c r="W23" s="81"/>
      <c r="X23" s="115"/>
      <c r="Y23" s="81"/>
      <c r="Z23" s="81"/>
      <c r="AA23" s="81"/>
      <c r="AB23" s="81"/>
      <c r="AC23" s="81"/>
      <c r="AD23" s="81"/>
      <c r="AE23" s="81"/>
      <c r="AF23" s="81"/>
      <c r="AG23" s="81">
        <v>1</v>
      </c>
      <c r="AH23" s="81"/>
      <c r="AI23" s="81"/>
      <c r="AJ23" s="89"/>
      <c r="AK23" s="89"/>
      <c r="AL23" s="89"/>
      <c r="AM23" s="62"/>
      <c r="AN23" s="41"/>
      <c r="AR23" s="22"/>
      <c r="AS23" s="23"/>
      <c r="AT23" s="29"/>
      <c r="AU23" s="29"/>
      <c r="AV23" s="29"/>
      <c r="AW23" s="29"/>
      <c r="AX23" s="29"/>
      <c r="AY23" s="30"/>
      <c r="BA23" s="7"/>
      <c r="BB23" s="6"/>
      <c r="BC23" s="2"/>
      <c r="BE23" s="7"/>
      <c r="BF23" s="6"/>
      <c r="BG23" s="2"/>
    </row>
    <row r="24" spans="1:59" ht="13.9" customHeight="1" x14ac:dyDescent="0.15">
      <c r="A24" s="10">
        <v>2019</v>
      </c>
      <c r="B24" s="8" t="s">
        <v>34</v>
      </c>
      <c r="C24" s="67">
        <f t="shared" si="4"/>
        <v>43647</v>
      </c>
      <c r="D24" s="36">
        <v>43670</v>
      </c>
      <c r="E24" s="13">
        <f t="shared" si="6"/>
        <v>43670</v>
      </c>
      <c r="F24" s="14" t="str">
        <f t="shared" si="7"/>
        <v>小川 穂波</v>
      </c>
      <c r="H24" s="72"/>
      <c r="I24" s="81"/>
      <c r="J24" s="81"/>
      <c r="K24" s="81"/>
      <c r="L24" s="81"/>
      <c r="M24" s="81"/>
      <c r="N24" s="81"/>
      <c r="O24" s="115"/>
      <c r="P24" s="115"/>
      <c r="Q24" s="115"/>
      <c r="R24" s="115"/>
      <c r="S24" s="81"/>
      <c r="T24" s="81"/>
      <c r="U24" s="81"/>
      <c r="V24" s="81"/>
      <c r="W24" s="81"/>
      <c r="X24" s="115"/>
      <c r="Y24" s="81"/>
      <c r="Z24" s="81"/>
      <c r="AA24" s="81"/>
      <c r="AB24" s="81"/>
      <c r="AC24" s="81"/>
      <c r="AD24" s="81"/>
      <c r="AE24" s="81"/>
      <c r="AF24" s="81"/>
      <c r="AG24" s="81"/>
      <c r="AH24" s="81">
        <v>1</v>
      </c>
      <c r="AI24" s="81"/>
      <c r="AJ24" s="89"/>
      <c r="AK24" s="89"/>
      <c r="AL24" s="89"/>
      <c r="AM24" s="62"/>
      <c r="AN24" s="41"/>
      <c r="AR24" s="22"/>
      <c r="AS24" s="23"/>
      <c r="AT24" s="29"/>
      <c r="AU24" s="29"/>
      <c r="AV24" s="29"/>
      <c r="AW24" s="29"/>
      <c r="AX24" s="29"/>
      <c r="AY24" s="30"/>
      <c r="BA24" s="7"/>
      <c r="BB24" s="6"/>
      <c r="BC24" s="2"/>
      <c r="BE24" s="7"/>
      <c r="BF24" s="6"/>
      <c r="BG24" s="2"/>
    </row>
    <row r="25" spans="1:59" ht="13.9" customHeight="1" x14ac:dyDescent="0.15">
      <c r="A25" s="10">
        <v>2019</v>
      </c>
      <c r="B25" s="8" t="s">
        <v>36</v>
      </c>
      <c r="C25" s="67">
        <f t="shared" si="4"/>
        <v>43678</v>
      </c>
      <c r="D25" s="36">
        <v>43691</v>
      </c>
      <c r="E25" s="13">
        <f t="shared" si="6"/>
        <v>43691</v>
      </c>
      <c r="F25" s="14" t="str">
        <f t="shared" si="7"/>
        <v>澤野 正樹</v>
      </c>
      <c r="H25" s="72"/>
      <c r="I25" s="81"/>
      <c r="J25" s="81"/>
      <c r="K25" s="81"/>
      <c r="L25" s="81"/>
      <c r="M25" s="81"/>
      <c r="N25" s="81"/>
      <c r="O25" s="115"/>
      <c r="P25" s="115"/>
      <c r="Q25" s="115"/>
      <c r="R25" s="115">
        <v>1</v>
      </c>
      <c r="S25" s="81"/>
      <c r="T25" s="81"/>
      <c r="U25" s="81"/>
      <c r="V25" s="81"/>
      <c r="W25" s="81"/>
      <c r="X25" s="115"/>
      <c r="Y25" s="81"/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9"/>
      <c r="AK25" s="89"/>
      <c r="AL25" s="89"/>
      <c r="AM25" s="62"/>
      <c r="AN25" s="41"/>
      <c r="AR25" s="22"/>
      <c r="AS25" s="23"/>
      <c r="AT25" s="29"/>
      <c r="AU25" s="29"/>
      <c r="AV25" s="29"/>
      <c r="AW25" s="29"/>
      <c r="AX25" s="29"/>
      <c r="AY25" s="30"/>
      <c r="BA25" s="7"/>
      <c r="BB25" s="6"/>
      <c r="BC25" s="2"/>
      <c r="BE25" s="7"/>
      <c r="BF25" s="6"/>
      <c r="BG25" s="2"/>
    </row>
    <row r="26" spans="1:59" ht="13.9" customHeight="1" x14ac:dyDescent="0.15">
      <c r="A26" s="10">
        <v>2019</v>
      </c>
      <c r="B26" s="8" t="s">
        <v>36</v>
      </c>
      <c r="C26" s="67">
        <f t="shared" si="4"/>
        <v>43678</v>
      </c>
      <c r="D26" s="36">
        <v>43697</v>
      </c>
      <c r="E26" s="13">
        <f t="shared" si="6"/>
        <v>43697</v>
      </c>
      <c r="F26" s="14" t="str">
        <f t="shared" si="7"/>
        <v/>
      </c>
      <c r="H26" s="72"/>
      <c r="I26" s="81"/>
      <c r="J26" s="81"/>
      <c r="K26" s="81"/>
      <c r="L26" s="81"/>
      <c r="M26" s="81"/>
      <c r="N26" s="81"/>
      <c r="O26" s="115"/>
      <c r="P26" s="115"/>
      <c r="Q26" s="115"/>
      <c r="R26" s="115"/>
      <c r="S26" s="81"/>
      <c r="T26" s="81"/>
      <c r="U26" s="81"/>
      <c r="V26" s="81"/>
      <c r="W26" s="81"/>
      <c r="X26" s="115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9"/>
      <c r="AK26" s="89"/>
      <c r="AL26" s="89"/>
      <c r="AM26" s="62"/>
      <c r="AN26" s="41"/>
      <c r="AR26" s="22"/>
      <c r="AS26" s="23"/>
      <c r="AT26" s="29"/>
      <c r="AU26" s="29"/>
      <c r="AV26" s="29"/>
      <c r="AW26" s="29"/>
      <c r="AX26" s="29"/>
      <c r="AY26" s="30"/>
      <c r="BA26" s="7"/>
      <c r="BB26" s="6"/>
      <c r="BC26" s="2"/>
      <c r="BE26" s="7"/>
      <c r="BF26" s="6"/>
      <c r="BG26" s="2"/>
    </row>
    <row r="27" spans="1:59" ht="13.9" customHeight="1" x14ac:dyDescent="0.15">
      <c r="A27" s="10">
        <v>2019</v>
      </c>
      <c r="B27" s="8" t="s">
        <v>36</v>
      </c>
      <c r="C27" s="67">
        <f t="shared" si="4"/>
        <v>43678</v>
      </c>
      <c r="D27" s="36">
        <v>43705</v>
      </c>
      <c r="E27" s="13">
        <f t="shared" si="6"/>
        <v>43705</v>
      </c>
      <c r="F27" s="14" t="str">
        <f t="shared" si="7"/>
        <v>齊藤 久紘</v>
      </c>
      <c r="H27" s="72"/>
      <c r="I27" s="81"/>
      <c r="J27" s="81"/>
      <c r="K27" s="81"/>
      <c r="L27" s="81"/>
      <c r="M27" s="81"/>
      <c r="N27" s="81"/>
      <c r="O27" s="115"/>
      <c r="P27" s="115"/>
      <c r="Q27" s="115"/>
      <c r="R27" s="115"/>
      <c r="S27" s="81"/>
      <c r="T27" s="81"/>
      <c r="U27" s="81"/>
      <c r="V27" s="81"/>
      <c r="W27" s="81"/>
      <c r="X27" s="115"/>
      <c r="Y27" s="81"/>
      <c r="Z27" s="81"/>
      <c r="AA27" s="81"/>
      <c r="AB27" s="81">
        <v>1</v>
      </c>
      <c r="AC27" s="81"/>
      <c r="AD27" s="81"/>
      <c r="AE27" s="81"/>
      <c r="AF27" s="81"/>
      <c r="AG27" s="81"/>
      <c r="AH27" s="81"/>
      <c r="AI27" s="81"/>
      <c r="AJ27" s="89"/>
      <c r="AK27" s="89"/>
      <c r="AL27" s="89"/>
      <c r="AM27" s="62"/>
      <c r="AN27" s="41"/>
      <c r="AR27" s="22"/>
      <c r="AS27" s="23"/>
      <c r="AT27" s="29"/>
      <c r="AU27" s="29"/>
      <c r="AV27" s="29"/>
      <c r="AW27" s="29"/>
      <c r="AX27" s="29"/>
      <c r="AY27" s="30"/>
      <c r="BA27" s="7"/>
      <c r="BB27" s="6"/>
      <c r="BC27" s="2"/>
      <c r="BE27" s="7"/>
      <c r="BF27" s="6"/>
      <c r="BG27" s="2"/>
    </row>
    <row r="28" spans="1:59" ht="13.9" customHeight="1" x14ac:dyDescent="0.15">
      <c r="A28" s="10">
        <v>2019</v>
      </c>
      <c r="B28" s="8" t="s">
        <v>37</v>
      </c>
      <c r="C28" s="67">
        <f t="shared" si="4"/>
        <v>43709</v>
      </c>
      <c r="D28" s="36">
        <v>43719</v>
      </c>
      <c r="E28" s="13">
        <f t="shared" si="6"/>
        <v>43719</v>
      </c>
      <c r="F28" s="14" t="str">
        <f t="shared" ref="F28:F36" si="8">IFERROR(INDEX($H$1:$AH$1,1,MATCH(1,H28:AH28)),"")</f>
        <v>黒田 辰憲</v>
      </c>
      <c r="H28" s="72"/>
      <c r="I28" s="81"/>
      <c r="J28" s="81"/>
      <c r="K28" s="81"/>
      <c r="L28" s="81"/>
      <c r="M28" s="81"/>
      <c r="N28" s="81"/>
      <c r="O28" s="115"/>
      <c r="P28" s="115"/>
      <c r="Q28" s="115"/>
      <c r="R28" s="115"/>
      <c r="S28" s="81"/>
      <c r="T28" s="81"/>
      <c r="U28" s="81"/>
      <c r="V28" s="81"/>
      <c r="W28" s="81">
        <v>1</v>
      </c>
      <c r="X28" s="115"/>
      <c r="Y28" s="81"/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9"/>
      <c r="AK28" s="89"/>
      <c r="AL28" s="89"/>
      <c r="AM28" s="62"/>
      <c r="AN28" s="41"/>
      <c r="AR28" s="22"/>
      <c r="AS28" s="23"/>
      <c r="AT28" s="29"/>
      <c r="AU28" s="29"/>
      <c r="AV28" s="29"/>
      <c r="AW28" s="29"/>
      <c r="AX28" s="29"/>
      <c r="AY28" s="30"/>
      <c r="BA28" s="7"/>
      <c r="BB28" s="6"/>
      <c r="BC28" s="2"/>
      <c r="BE28" s="7"/>
      <c r="BF28" s="6"/>
      <c r="BG28" s="2"/>
    </row>
    <row r="29" spans="1:59" ht="13.9" customHeight="1" x14ac:dyDescent="0.15">
      <c r="A29" s="10">
        <v>2019</v>
      </c>
      <c r="B29" s="8" t="s">
        <v>38</v>
      </c>
      <c r="C29" s="67">
        <f t="shared" si="4"/>
        <v>43709</v>
      </c>
      <c r="D29" s="36">
        <v>43725</v>
      </c>
      <c r="E29" s="13">
        <f t="shared" si="6"/>
        <v>43725</v>
      </c>
      <c r="F29" s="14" t="str">
        <f t="shared" si="8"/>
        <v>菅野　祐萌</v>
      </c>
      <c r="H29" s="72"/>
      <c r="I29" s="81"/>
      <c r="J29" s="81"/>
      <c r="K29" s="81"/>
      <c r="L29" s="81"/>
      <c r="M29" s="81"/>
      <c r="N29" s="81"/>
      <c r="O29" s="115"/>
      <c r="P29" s="115"/>
      <c r="Q29" s="115"/>
      <c r="R29" s="115"/>
      <c r="S29" s="81">
        <v>1</v>
      </c>
      <c r="T29" s="81"/>
      <c r="U29" s="81"/>
      <c r="V29" s="81"/>
      <c r="W29" s="81"/>
      <c r="X29" s="115"/>
      <c r="Y29" s="81"/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9"/>
      <c r="AK29" s="89"/>
      <c r="AL29" s="89"/>
      <c r="AM29" s="62"/>
      <c r="AN29" s="41"/>
      <c r="AR29" s="22"/>
      <c r="AS29" s="23"/>
      <c r="AT29" s="29"/>
      <c r="AU29" s="29"/>
      <c r="AV29" s="29"/>
      <c r="AW29" s="29"/>
      <c r="AX29" s="29"/>
      <c r="AY29" s="30"/>
      <c r="BA29" s="7"/>
      <c r="BB29" s="6"/>
      <c r="BC29" s="2"/>
      <c r="BE29" s="7"/>
      <c r="BF29" s="6"/>
      <c r="BG29" s="2"/>
    </row>
    <row r="30" spans="1:59" ht="13.9" customHeight="1" x14ac:dyDescent="0.15">
      <c r="A30" s="10">
        <v>2019</v>
      </c>
      <c r="B30" s="8" t="s">
        <v>38</v>
      </c>
      <c r="C30" s="67">
        <f t="shared" si="4"/>
        <v>43709</v>
      </c>
      <c r="D30" s="36">
        <v>43733</v>
      </c>
      <c r="E30" s="13">
        <f t="shared" si="6"/>
        <v>43733</v>
      </c>
      <c r="F30" s="14" t="str">
        <f t="shared" si="8"/>
        <v>林 亮子</v>
      </c>
      <c r="H30" s="72"/>
      <c r="I30" s="81"/>
      <c r="J30" s="81"/>
      <c r="K30" s="81"/>
      <c r="L30" s="81"/>
      <c r="M30" s="81"/>
      <c r="N30" s="81"/>
      <c r="O30" s="115"/>
      <c r="P30" s="115"/>
      <c r="Q30" s="115"/>
      <c r="R30" s="115"/>
      <c r="S30" s="81"/>
      <c r="T30" s="81"/>
      <c r="U30" s="81"/>
      <c r="V30" s="81"/>
      <c r="W30" s="81"/>
      <c r="X30" s="115"/>
      <c r="Y30" s="81">
        <v>1</v>
      </c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9"/>
      <c r="AK30" s="89"/>
      <c r="AL30" s="89"/>
      <c r="AM30" s="62"/>
      <c r="AN30" s="41"/>
      <c r="AR30" s="22"/>
      <c r="AS30" s="23"/>
      <c r="AT30" s="29"/>
      <c r="AU30" s="29"/>
      <c r="AV30" s="29"/>
      <c r="AW30" s="29"/>
      <c r="AX30" s="29"/>
      <c r="AY30" s="30"/>
      <c r="BA30" s="7"/>
      <c r="BB30" s="6"/>
      <c r="BC30" s="2"/>
      <c r="BE30" s="7"/>
      <c r="BF30" s="6"/>
      <c r="BG30" s="2"/>
    </row>
    <row r="31" spans="1:59" ht="13.9" customHeight="1" x14ac:dyDescent="0.15">
      <c r="A31" s="10">
        <v>2019</v>
      </c>
      <c r="B31" s="8">
        <v>10</v>
      </c>
      <c r="C31" s="67">
        <f t="shared" si="4"/>
        <v>43739</v>
      </c>
      <c r="D31" s="36">
        <v>43747</v>
      </c>
      <c r="E31" s="13">
        <f t="shared" si="6"/>
        <v>43747</v>
      </c>
      <c r="F31" s="14" t="str">
        <f t="shared" si="8"/>
        <v>片岡 恵梨子</v>
      </c>
      <c r="H31" s="72"/>
      <c r="I31" s="81"/>
      <c r="J31" s="81"/>
      <c r="K31" s="81"/>
      <c r="L31" s="81"/>
      <c r="M31" s="81"/>
      <c r="N31" s="81"/>
      <c r="O31" s="115"/>
      <c r="P31" s="115"/>
      <c r="Q31" s="115"/>
      <c r="R31" s="115"/>
      <c r="S31" s="81"/>
      <c r="T31" s="81"/>
      <c r="U31" s="81"/>
      <c r="V31" s="81"/>
      <c r="W31" s="81"/>
      <c r="X31" s="115"/>
      <c r="Y31" s="81"/>
      <c r="Z31" s="81"/>
      <c r="AA31" s="81"/>
      <c r="AB31" s="81"/>
      <c r="AC31" s="81">
        <v>1</v>
      </c>
      <c r="AD31" s="81"/>
      <c r="AE31" s="81"/>
      <c r="AF31" s="81"/>
      <c r="AG31" s="81"/>
      <c r="AH31" s="81"/>
      <c r="AI31" s="81"/>
      <c r="AJ31" s="89"/>
      <c r="AK31" s="89"/>
      <c r="AL31" s="89"/>
      <c r="AM31" s="62"/>
      <c r="AN31" s="41"/>
      <c r="AR31" s="22"/>
      <c r="AS31" s="23"/>
      <c r="AT31" s="29"/>
      <c r="AU31" s="29"/>
      <c r="AV31" s="29"/>
      <c r="AW31" s="29"/>
      <c r="AX31" s="29"/>
      <c r="AY31" s="30"/>
      <c r="BA31" s="7"/>
      <c r="BB31" s="6"/>
      <c r="BC31" s="2"/>
      <c r="BE31" s="7"/>
      <c r="BF31" s="6"/>
      <c r="BG31" s="2"/>
    </row>
    <row r="32" spans="1:59" ht="13.9" customHeight="1" x14ac:dyDescent="0.15">
      <c r="A32" s="10">
        <v>2019</v>
      </c>
      <c r="B32" s="8">
        <v>10</v>
      </c>
      <c r="C32" s="67">
        <f t="shared" si="4"/>
        <v>43739</v>
      </c>
      <c r="D32" s="36">
        <v>43753</v>
      </c>
      <c r="E32" s="13">
        <f t="shared" si="6"/>
        <v>43753</v>
      </c>
      <c r="F32" s="14" t="str">
        <f t="shared" si="8"/>
        <v>山本 浩之</v>
      </c>
      <c r="H32" s="72"/>
      <c r="I32" s="81"/>
      <c r="J32" s="81"/>
      <c r="K32" s="81"/>
      <c r="L32" s="81"/>
      <c r="M32" s="81"/>
      <c r="N32" s="81"/>
      <c r="O32" s="115"/>
      <c r="P32" s="115">
        <v>1</v>
      </c>
      <c r="Q32" s="115"/>
      <c r="R32" s="115"/>
      <c r="S32" s="81"/>
      <c r="T32" s="81"/>
      <c r="U32" s="81"/>
      <c r="V32" s="81"/>
      <c r="W32" s="81"/>
      <c r="X32" s="115"/>
      <c r="Y32" s="81"/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9"/>
      <c r="AK32" s="89"/>
      <c r="AL32" s="89"/>
      <c r="AM32" s="62"/>
      <c r="AN32" s="41"/>
      <c r="AR32" s="22"/>
      <c r="AS32" s="23"/>
      <c r="AT32" s="29"/>
      <c r="AU32" s="29"/>
      <c r="AV32" s="29"/>
      <c r="AW32" s="29"/>
      <c r="AX32" s="29"/>
      <c r="AY32" s="30"/>
      <c r="BA32" s="7"/>
      <c r="BB32" s="6"/>
      <c r="BC32" s="2"/>
      <c r="BE32" s="7"/>
      <c r="BF32" s="6"/>
      <c r="BG32" s="2"/>
    </row>
    <row r="33" spans="1:59" ht="13.9" customHeight="1" x14ac:dyDescent="0.15">
      <c r="A33" s="10">
        <v>2019</v>
      </c>
      <c r="B33" s="8">
        <v>10</v>
      </c>
      <c r="C33" s="67">
        <f t="shared" si="4"/>
        <v>43739</v>
      </c>
      <c r="D33" s="36">
        <v>43761</v>
      </c>
      <c r="E33" s="13">
        <f t="shared" si="6"/>
        <v>43761</v>
      </c>
      <c r="F33" s="14" t="str">
        <f t="shared" si="8"/>
        <v>中川　大誠</v>
      </c>
      <c r="H33" s="72"/>
      <c r="I33" s="81"/>
      <c r="J33" s="81"/>
      <c r="K33" s="81"/>
      <c r="L33" s="81"/>
      <c r="M33" s="81"/>
      <c r="N33" s="81"/>
      <c r="O33" s="115"/>
      <c r="P33" s="115"/>
      <c r="Q33" s="115"/>
      <c r="R33" s="115"/>
      <c r="S33" s="81"/>
      <c r="T33" s="81"/>
      <c r="U33" s="81"/>
      <c r="V33" s="81"/>
      <c r="W33" s="81"/>
      <c r="X33" s="115"/>
      <c r="Y33" s="81"/>
      <c r="Z33" s="81"/>
      <c r="AA33" s="81"/>
      <c r="AB33" s="81"/>
      <c r="AC33" s="81"/>
      <c r="AD33" s="81"/>
      <c r="AE33" s="81"/>
      <c r="AF33" s="81">
        <v>1</v>
      </c>
      <c r="AG33" s="81"/>
      <c r="AH33" s="81"/>
      <c r="AI33" s="81"/>
      <c r="AJ33" s="89"/>
      <c r="AK33" s="89"/>
      <c r="AL33" s="89"/>
      <c r="AM33" s="62"/>
      <c r="AN33" s="41"/>
      <c r="AR33" s="22"/>
      <c r="AS33" s="23"/>
      <c r="AT33" s="29"/>
      <c r="AU33" s="29"/>
      <c r="AV33" s="29"/>
      <c r="AW33" s="29"/>
      <c r="AX33" s="29"/>
      <c r="AY33" s="30"/>
      <c r="BA33" s="7"/>
      <c r="BB33" s="6"/>
      <c r="BC33" s="2"/>
      <c r="BE33" s="7"/>
      <c r="BF33" s="6"/>
      <c r="BG33" s="2"/>
    </row>
    <row r="34" spans="1:59" ht="13.9" customHeight="1" x14ac:dyDescent="0.15">
      <c r="A34" s="10">
        <v>2019</v>
      </c>
      <c r="B34" s="8">
        <v>11</v>
      </c>
      <c r="C34" s="67">
        <f t="shared" si="4"/>
        <v>43770</v>
      </c>
      <c r="D34" s="36">
        <v>43782</v>
      </c>
      <c r="E34" s="13">
        <f t="shared" si="6"/>
        <v>43782</v>
      </c>
      <c r="F34" s="14" t="str">
        <f t="shared" si="8"/>
        <v>村崎 祐一</v>
      </c>
      <c r="H34" s="72"/>
      <c r="I34" s="81"/>
      <c r="J34" s="81"/>
      <c r="K34" s="81"/>
      <c r="L34" s="81"/>
      <c r="M34" s="81"/>
      <c r="N34" s="81"/>
      <c r="O34" s="115"/>
      <c r="P34" s="115"/>
      <c r="Q34" s="115"/>
      <c r="R34" s="115"/>
      <c r="S34" s="81"/>
      <c r="T34" s="81"/>
      <c r="U34" s="81"/>
      <c r="V34" s="81"/>
      <c r="W34" s="81"/>
      <c r="X34" s="115"/>
      <c r="Y34" s="81"/>
      <c r="Z34" s="81"/>
      <c r="AA34" s="81"/>
      <c r="AB34" s="81"/>
      <c r="AC34" s="81"/>
      <c r="AD34" s="81">
        <v>1</v>
      </c>
      <c r="AE34" s="81"/>
      <c r="AF34" s="81"/>
      <c r="AG34" s="81"/>
      <c r="AH34" s="81"/>
      <c r="AI34" s="81"/>
      <c r="AJ34" s="89"/>
      <c r="AK34" s="89"/>
      <c r="AL34" s="89"/>
      <c r="AM34" s="62"/>
      <c r="AN34" s="41"/>
      <c r="AR34" s="22"/>
      <c r="AS34" s="23"/>
      <c r="AT34" s="29"/>
      <c r="AU34" s="29"/>
      <c r="AV34" s="29"/>
      <c r="AW34" s="29"/>
      <c r="AX34" s="29"/>
      <c r="AY34" s="30"/>
      <c r="BA34" s="7"/>
      <c r="BB34" s="6"/>
      <c r="BC34" s="2"/>
      <c r="BE34" s="7"/>
      <c r="BF34" s="6"/>
      <c r="BG34" s="2"/>
    </row>
    <row r="35" spans="1:59" ht="13.9" customHeight="1" x14ac:dyDescent="0.15">
      <c r="A35" s="10">
        <v>2019</v>
      </c>
      <c r="B35" s="8">
        <v>11</v>
      </c>
      <c r="C35" s="67">
        <f t="shared" si="4"/>
        <v>43770</v>
      </c>
      <c r="D35" s="36">
        <v>43788</v>
      </c>
      <c r="E35" s="13">
        <f t="shared" si="6"/>
        <v>43788</v>
      </c>
      <c r="F35" s="14" t="str">
        <f t="shared" si="8"/>
        <v>南 博之</v>
      </c>
      <c r="H35" s="72"/>
      <c r="I35" s="81"/>
      <c r="J35" s="81"/>
      <c r="K35" s="81"/>
      <c r="L35" s="81"/>
      <c r="M35" s="81"/>
      <c r="N35" s="81"/>
      <c r="O35" s="115"/>
      <c r="P35" s="115"/>
      <c r="Q35" s="115">
        <v>1</v>
      </c>
      <c r="R35" s="115"/>
      <c r="S35" s="81"/>
      <c r="T35" s="81"/>
      <c r="U35" s="81"/>
      <c r="V35" s="81"/>
      <c r="W35" s="81"/>
      <c r="X35" s="115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9"/>
      <c r="AK35" s="89"/>
      <c r="AL35" s="89"/>
      <c r="AM35" s="62"/>
      <c r="AN35" s="41"/>
      <c r="AR35" s="22"/>
      <c r="AS35" s="23"/>
      <c r="AT35" s="29"/>
      <c r="AU35" s="29"/>
      <c r="AV35" s="29"/>
      <c r="AW35" s="29"/>
      <c r="AX35" s="29"/>
      <c r="AY35" s="30"/>
      <c r="BA35" s="7"/>
      <c r="BB35" s="6"/>
      <c r="BC35" s="2"/>
      <c r="BE35" s="7"/>
      <c r="BF35" s="6"/>
      <c r="BG35" s="2"/>
    </row>
    <row r="36" spans="1:59" ht="13.9" customHeight="1" x14ac:dyDescent="0.15">
      <c r="A36" s="10">
        <v>2019</v>
      </c>
      <c r="B36" s="8">
        <v>11</v>
      </c>
      <c r="C36" s="67">
        <f t="shared" si="4"/>
        <v>43770</v>
      </c>
      <c r="D36" s="36">
        <v>43796</v>
      </c>
      <c r="E36" s="13">
        <f t="shared" si="6"/>
        <v>43796</v>
      </c>
      <c r="F36" s="14" t="str">
        <f t="shared" si="8"/>
        <v>大橋 効</v>
      </c>
      <c r="H36" s="72"/>
      <c r="I36" s="81"/>
      <c r="J36" s="81"/>
      <c r="K36" s="81"/>
      <c r="L36" s="81"/>
      <c r="M36" s="81"/>
      <c r="N36" s="81"/>
      <c r="O36" s="115">
        <v>1</v>
      </c>
      <c r="P36" s="115"/>
      <c r="Q36" s="115"/>
      <c r="R36" s="115"/>
      <c r="S36" s="81"/>
      <c r="T36" s="81"/>
      <c r="U36" s="81"/>
      <c r="V36" s="81"/>
      <c r="W36" s="81"/>
      <c r="X36" s="115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9"/>
      <c r="AK36" s="89"/>
      <c r="AL36" s="89"/>
      <c r="AM36" s="62"/>
      <c r="AN36" s="41"/>
      <c r="AR36" s="22"/>
      <c r="AS36" s="23"/>
      <c r="AT36" s="29"/>
      <c r="AU36" s="29"/>
      <c r="AV36" s="29"/>
      <c r="AW36" s="29"/>
      <c r="AX36" s="29"/>
      <c r="AY36" s="30"/>
      <c r="BA36" s="7"/>
      <c r="BB36" s="6"/>
      <c r="BC36" s="2"/>
      <c r="BE36" s="7"/>
      <c r="BF36" s="6"/>
      <c r="BG36" s="2"/>
    </row>
    <row r="37" spans="1:59" ht="13.9" customHeight="1" x14ac:dyDescent="0.15">
      <c r="A37" s="10">
        <v>2019</v>
      </c>
      <c r="B37" s="8" t="s">
        <v>31</v>
      </c>
      <c r="C37" s="67">
        <f t="shared" si="4"/>
        <v>43800</v>
      </c>
      <c r="D37" s="36">
        <v>43810</v>
      </c>
      <c r="E37" s="13">
        <f t="shared" si="6"/>
        <v>43810</v>
      </c>
      <c r="F37" s="14" t="str">
        <f>IFERROR(INDEX($H$1:$AH$1,1,MATCH(1,H37:AH37)),"")</f>
        <v>長田 弘二</v>
      </c>
      <c r="H37" s="72"/>
      <c r="I37" s="81"/>
      <c r="J37" s="81"/>
      <c r="K37" s="81"/>
      <c r="L37" s="81"/>
      <c r="M37" s="81"/>
      <c r="N37" s="81"/>
      <c r="O37" s="115"/>
      <c r="P37" s="115"/>
      <c r="Q37" s="115"/>
      <c r="R37" s="115"/>
      <c r="S37" s="81"/>
      <c r="T37" s="81"/>
      <c r="U37" s="81"/>
      <c r="V37" s="81">
        <v>1</v>
      </c>
      <c r="W37" s="81"/>
      <c r="X37" s="115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9"/>
      <c r="AK37" s="89"/>
      <c r="AL37" s="89"/>
      <c r="AM37" s="62"/>
      <c r="AN37" s="41"/>
      <c r="AR37" s="22" t="str">
        <f>IFERROR(HLOOKUP(D37,[2]明!$D$1:$AH$4,AR$3,FALSE),"")</f>
        <v>山田</v>
      </c>
      <c r="AS37" s="23" t="str">
        <f>IFERROR(HLOOKUP(E37,[2]明!$D$1:$AH$4,AS$3,FALSE),"")</f>
        <v>長田</v>
      </c>
      <c r="AT37" s="29" t="str">
        <f>IFERROR(HLOOKUP($D37,[2]●!$D$1:$AH$10,AT$3,FALSE),"")</f>
        <v>中村</v>
      </c>
      <c r="AU37" s="29" t="str">
        <f>IFERROR(HLOOKUP($D37,[2]●!$D$1:$AH$10,AU$3,FALSE),"")</f>
        <v>加藤</v>
      </c>
      <c r="AV37" s="29" t="str">
        <f>IFERROR(HLOOKUP($D37,[2]●!$D$1:$AH$10,AV$3,FALSE),"")</f>
        <v>村中</v>
      </c>
      <c r="AW37" s="29" t="str">
        <f>IFERROR(HLOOKUP($D37,[2]●!$D$1:$AH$10,AW$3,FALSE),"")</f>
        <v>阪井田</v>
      </c>
      <c r="AX37" s="29" t="str">
        <f>IFERROR(HLOOKUP($D37,[2]●!$D$1:$AH$10,AX$3,FALSE),"")</f>
        <v/>
      </c>
      <c r="AY37" s="29" t="str">
        <f>IFERROR(HLOOKUP($D37,[2]●!$D$1:$AH$10,AY$3,FALSE),"")</f>
        <v/>
      </c>
      <c r="BA37" s="7"/>
      <c r="BB37" s="6"/>
      <c r="BC37" s="2"/>
      <c r="BE37" s="7"/>
      <c r="BF37" s="6"/>
      <c r="BG37" s="2"/>
    </row>
    <row r="38" spans="1:59" ht="13.9" customHeight="1" x14ac:dyDescent="0.15">
      <c r="A38" s="10">
        <v>2019</v>
      </c>
      <c r="B38" s="8">
        <v>12</v>
      </c>
      <c r="C38" s="67">
        <f t="shared" si="4"/>
        <v>43800</v>
      </c>
      <c r="D38" s="36">
        <v>43816</v>
      </c>
      <c r="E38" s="13">
        <f t="shared" si="6"/>
        <v>43816</v>
      </c>
      <c r="F38" s="14" t="str">
        <f t="shared" ref="F38:F48" si="9">IFERROR(INDEX($H$1:$AH$1,1,MATCH(1,H38:AH38)),"")</f>
        <v/>
      </c>
      <c r="H38" s="72"/>
      <c r="I38" s="81"/>
      <c r="J38" s="81"/>
      <c r="K38" s="81"/>
      <c r="L38" s="81"/>
      <c r="M38" s="81"/>
      <c r="N38" s="81"/>
      <c r="O38" s="115"/>
      <c r="P38" s="115"/>
      <c r="Q38" s="115"/>
      <c r="R38" s="115"/>
      <c r="S38" s="81"/>
      <c r="T38" s="81"/>
      <c r="U38" s="81"/>
      <c r="V38" s="81"/>
      <c r="W38" s="81"/>
      <c r="X38" s="115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9"/>
      <c r="AK38" s="89"/>
      <c r="AL38" s="89"/>
      <c r="AM38" s="62"/>
      <c r="AN38" s="41"/>
      <c r="AR38" s="22" t="str">
        <f>IFERROR(HLOOKUP(D38,[2]明!$D$1:$AH$4,AR$3,FALSE),"")</f>
        <v>齊藤</v>
      </c>
      <c r="AS38" s="23" t="str">
        <f>IFERROR(HLOOKUP(E38,[2]明!$D$1:$AH$4,AS$3,FALSE),"")</f>
        <v>佐藤穂</v>
      </c>
      <c r="AT38" s="29" t="str">
        <f>IFERROR(HLOOKUP($D38,[2]●!$D$1:$AH$10,AT$3,FALSE),"")</f>
        <v>平田真</v>
      </c>
      <c r="AU38" s="29" t="str">
        <f>IFERROR(HLOOKUP($D38,[2]●!$D$1:$AH$10,AU$3,FALSE),"")</f>
        <v>村崎</v>
      </c>
      <c r="AV38" s="29" t="str">
        <f>IFERROR(HLOOKUP($D38,[2]●!$D$1:$AH$10,AV$3,FALSE),"")</f>
        <v>大畑</v>
      </c>
      <c r="AW38" s="29" t="str">
        <f>IFERROR(HLOOKUP($D38,[2]●!$D$1:$AH$10,AW$3,FALSE),"")</f>
        <v>谷口</v>
      </c>
      <c r="AX38" s="29" t="str">
        <f>IFERROR(HLOOKUP($D38,[2]●!$D$1:$AH$10,AX$3,FALSE),"")</f>
        <v>村中</v>
      </c>
      <c r="AY38" s="29" t="str">
        <f>IFERROR(HLOOKUP($D38,[2]●!$D$1:$AH$10,AY$3,FALSE),"")</f>
        <v/>
      </c>
      <c r="BA38" s="7"/>
      <c r="BB38" s="6"/>
      <c r="BC38" s="2"/>
      <c r="BE38" s="7"/>
      <c r="BF38" s="6"/>
      <c r="BG38" s="2"/>
    </row>
    <row r="39" spans="1:59" ht="13.9" customHeight="1" x14ac:dyDescent="0.15">
      <c r="A39" s="10">
        <v>2019</v>
      </c>
      <c r="B39" s="8">
        <v>12</v>
      </c>
      <c r="C39" s="67">
        <f t="shared" si="4"/>
        <v>43800</v>
      </c>
      <c r="D39" s="36">
        <v>43824</v>
      </c>
      <c r="E39" s="13">
        <f t="shared" si="6"/>
        <v>43824</v>
      </c>
      <c r="F39" s="14" t="str">
        <f t="shared" si="9"/>
        <v>田村 能之</v>
      </c>
      <c r="H39" s="73"/>
      <c r="I39" s="82"/>
      <c r="J39" s="82"/>
      <c r="K39" s="82"/>
      <c r="L39" s="82"/>
      <c r="M39" s="82"/>
      <c r="N39" s="82"/>
      <c r="O39" s="116"/>
      <c r="P39" s="116"/>
      <c r="Q39" s="116"/>
      <c r="R39" s="116"/>
      <c r="S39" s="82"/>
      <c r="T39" s="82"/>
      <c r="U39" s="82"/>
      <c r="V39" s="82"/>
      <c r="W39" s="82"/>
      <c r="X39" s="116"/>
      <c r="Y39" s="82"/>
      <c r="Z39" s="82"/>
      <c r="AA39" s="82">
        <v>1</v>
      </c>
      <c r="AB39" s="82"/>
      <c r="AC39" s="82"/>
      <c r="AD39" s="82"/>
      <c r="AE39" s="82"/>
      <c r="AF39" s="82"/>
      <c r="AG39" s="82"/>
      <c r="AH39" s="81"/>
      <c r="AI39" s="81"/>
      <c r="AJ39" s="89"/>
      <c r="AK39" s="89"/>
      <c r="AL39" s="89"/>
      <c r="AM39" s="62"/>
      <c r="AN39" s="41"/>
      <c r="AR39" s="22" t="str">
        <f>IFERROR(HLOOKUP(D39,[2]明!$D$1:$AH$4,AR$3,FALSE),"")</f>
        <v>山本</v>
      </c>
      <c r="AS39" s="23" t="str">
        <f>IFERROR(HLOOKUP(E39,[2]明!$D$1:$AH$4,AS$3,FALSE),"")</f>
        <v>山田</v>
      </c>
      <c r="AT39" s="29" t="str">
        <f>IFERROR(HLOOKUP($D39,[2]●!$D$1:$AH$10,AT$3,FALSE),"")</f>
        <v>山下</v>
      </c>
      <c r="AU39" s="29" t="str">
        <f>IFERROR(HLOOKUP($D39,[2]●!$D$1:$AH$10,AU$3,FALSE),"")</f>
        <v>田村</v>
      </c>
      <c r="AV39" s="29" t="str">
        <f>IFERROR(HLOOKUP($D39,[2]●!$D$1:$AH$10,AV$3,FALSE),"")</f>
        <v>村中</v>
      </c>
      <c r="AW39" s="29" t="str">
        <f>IFERROR(HLOOKUP($D39,[2]●!$D$1:$AH$10,AW$3,FALSE),"")</f>
        <v>阪井田</v>
      </c>
      <c r="AX39" s="29" t="str">
        <f>IFERROR(HLOOKUP($D39,[2]●!$D$1:$AH$10,AX$3,FALSE),"")</f>
        <v/>
      </c>
      <c r="AY39" s="29" t="str">
        <f>IFERROR(HLOOKUP($D39,[2]●!$D$1:$AH$10,AY$3,FALSE),"")</f>
        <v/>
      </c>
      <c r="BA39" s="7"/>
      <c r="BB39" s="6"/>
      <c r="BC39" s="2"/>
      <c r="BE39" s="7"/>
      <c r="BF39" s="6"/>
      <c r="BG39" s="2"/>
    </row>
    <row r="40" spans="1:59" ht="13.9" customHeight="1" x14ac:dyDescent="0.15">
      <c r="A40" s="10">
        <v>2020</v>
      </c>
      <c r="B40" s="8" t="s">
        <v>22</v>
      </c>
      <c r="C40" s="67">
        <f t="shared" si="4"/>
        <v>43831</v>
      </c>
      <c r="D40" s="36">
        <f>IF(WEEKDAY((DATE(A40,B40,1)))&gt;4,(7-(WEEKDAY((DATE(A40,B40,1)))-4))+(DATE(A40,B40,1)),4-WEEKDAY((DATE(A40,B40,1)))+(DATE(A40,B40,1)))+7</f>
        <v>43838</v>
      </c>
      <c r="E40" s="37">
        <f>D40</f>
        <v>43838</v>
      </c>
      <c r="F40" s="14" t="str">
        <f t="shared" si="9"/>
        <v>西明 千織</v>
      </c>
      <c r="H40" s="72">
        <v>1</v>
      </c>
      <c r="I40" s="81"/>
      <c r="J40" s="81"/>
      <c r="K40" s="81"/>
      <c r="L40" s="81"/>
      <c r="M40" s="81"/>
      <c r="N40" s="81"/>
      <c r="O40" s="115"/>
      <c r="P40" s="115"/>
      <c r="Q40" s="115"/>
      <c r="R40" s="115"/>
      <c r="S40" s="81"/>
      <c r="T40" s="81"/>
      <c r="U40" s="81"/>
      <c r="V40" s="81"/>
      <c r="W40" s="81"/>
      <c r="X40" s="115"/>
      <c r="Y40" s="81"/>
      <c r="Z40" s="81"/>
      <c r="AA40" s="81"/>
      <c r="AB40" s="81"/>
      <c r="AC40" s="81"/>
      <c r="AD40" s="81"/>
      <c r="AE40" s="81"/>
      <c r="AF40" s="81"/>
      <c r="AG40" s="81"/>
      <c r="AH40" s="81"/>
      <c r="AI40" s="81"/>
      <c r="AJ40" s="89"/>
      <c r="AK40" s="89"/>
      <c r="AL40" s="89"/>
      <c r="AM40" s="62"/>
      <c r="AN40" s="41"/>
      <c r="AR40" s="22" t="str">
        <f>IFERROR(HLOOKUP(D40,[3]明!$D$1:$AH$4,AR$3,FALSE),"")</f>
        <v>田村</v>
      </c>
      <c r="AS40" s="23" t="str">
        <f>IFERROR(HLOOKUP(E40,[3]明!$D$1:$AH$4,AS$3,FALSE),"")</f>
        <v>佐藤穂</v>
      </c>
      <c r="AT40" s="29" t="str">
        <f>IFERROR(HLOOKUP($D40,[3]●!$D$1:$AH$10,AT$3,FALSE),"")</f>
        <v>山本</v>
      </c>
      <c r="AU40" s="29" t="str">
        <f>IFERROR(HLOOKUP($D40,[3]●!$D$1:$AH$10,AU$3,FALSE),"")</f>
        <v>山田</v>
      </c>
      <c r="AV40" s="29" t="str">
        <f>IFERROR(HLOOKUP($D40,[3]●!$D$1:$AH$10,AV$3,FALSE),"")</f>
        <v>村中</v>
      </c>
      <c r="AW40" s="29" t="str">
        <f>IFERROR(HLOOKUP($D40,[3]●!$D$1:$AH$10,AW$3,FALSE),"")</f>
        <v>阪井田</v>
      </c>
      <c r="AX40" s="29" t="str">
        <f>IFERROR(HLOOKUP($D40,[3]●!$D$1:$AH$10,AX$3,FALSE),"")</f>
        <v/>
      </c>
      <c r="AY40" s="29" t="str">
        <f>IFERROR(HLOOKUP($D40,[3]●!$D$1:$AH$10,AY$3,FALSE),"")</f>
        <v/>
      </c>
      <c r="BA40" s="130"/>
      <c r="BB40" s="130"/>
      <c r="BC40" s="130"/>
      <c r="BD40" s="130"/>
      <c r="BE40" s="130"/>
      <c r="BF40" s="130"/>
      <c r="BG40" s="130"/>
    </row>
    <row r="41" spans="1:59" ht="13.9" customHeight="1" x14ac:dyDescent="0.15">
      <c r="A41" s="10">
        <v>2020</v>
      </c>
      <c r="B41" s="8" t="s">
        <v>22</v>
      </c>
      <c r="C41" s="67">
        <f t="shared" si="4"/>
        <v>43831</v>
      </c>
      <c r="D41" s="38">
        <f>IF(WEEKDAY(DATE(A41,B41,1))&gt;3,(7-(WEEKDAY(DATE(A41,B41,1))-3))+DATE(A41,B41,1),3-WEEKDAY(DATE(A41,B41,1))+DATE(A41,B41,1))+14</f>
        <v>43851</v>
      </c>
      <c r="E41" s="37">
        <f t="shared" ref="E41:E75" si="10">D41</f>
        <v>43851</v>
      </c>
      <c r="F41" s="14" t="str">
        <f t="shared" si="9"/>
        <v>平田 恵哉</v>
      </c>
      <c r="H41" s="72"/>
      <c r="I41" s="81"/>
      <c r="J41" s="81"/>
      <c r="K41" s="81"/>
      <c r="L41" s="81"/>
      <c r="M41" s="81"/>
      <c r="N41" s="81"/>
      <c r="O41" s="115"/>
      <c r="P41" s="115"/>
      <c r="Q41" s="115"/>
      <c r="R41" s="115"/>
      <c r="S41" s="81"/>
      <c r="T41" s="81"/>
      <c r="U41" s="81">
        <v>1</v>
      </c>
      <c r="V41" s="81"/>
      <c r="W41" s="81"/>
      <c r="X41" s="115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9"/>
      <c r="AK41" s="89"/>
      <c r="AL41" s="89"/>
      <c r="AM41" s="62"/>
      <c r="AN41" s="41"/>
      <c r="AR41" s="22" t="str">
        <f>IFERROR(HLOOKUP(D41,[3]明!$D$1:$AH$4,AR$3,FALSE),"")</f>
        <v>齊藤</v>
      </c>
      <c r="AS41" s="23" t="str">
        <f>IFERROR(HLOOKUP(E41,[3]明!$D$1:$AH$4,AS$3,FALSE),"")</f>
        <v>村崎</v>
      </c>
      <c r="AT41" s="29" t="str">
        <f>IFERROR(HLOOKUP($D41,[3]●!$D$1:$AH$10,AT$3,FALSE),"")</f>
        <v>大橋</v>
      </c>
      <c r="AU41" s="29" t="str">
        <f>IFERROR(HLOOKUP($D41,[3]●!$D$1:$AH$10,AU$3,FALSE),"")</f>
        <v>平田恵</v>
      </c>
      <c r="AV41" s="29" t="str">
        <f>IFERROR(HLOOKUP($D41,[3]●!$D$1:$AH$10,AV$3,FALSE),"")</f>
        <v>長田</v>
      </c>
      <c r="AW41" s="29" t="str">
        <f>IFERROR(HLOOKUP($D41,[3]●!$D$1:$AH$10,AW$3,FALSE),"")</f>
        <v>大畑</v>
      </c>
      <c r="AX41" s="29" t="str">
        <f>IFERROR(HLOOKUP($D41,[3]●!$D$1:$AH$10,AX$3,FALSE),"")</f>
        <v>谷口</v>
      </c>
      <c r="AY41" s="29" t="str">
        <f>IFERROR(HLOOKUP($D41,[3]●!$D$1:$AH$10,AY$3,FALSE),"")</f>
        <v>村中</v>
      </c>
    </row>
    <row r="42" spans="1:59" ht="13.9" customHeight="1" x14ac:dyDescent="0.15">
      <c r="A42" s="10">
        <v>2020</v>
      </c>
      <c r="B42" s="8" t="s">
        <v>22</v>
      </c>
      <c r="C42" s="67">
        <f t="shared" si="4"/>
        <v>43831</v>
      </c>
      <c r="D42" s="36">
        <f>IF(WEEKDAY((DATE(A40,B40,1)))&gt;4,(7-(WEEKDAY((DATE(A40,B40,1)))-4))+(DATE(A40,B40,1)),4-WEEKDAY((DATE(A40,B40,1)))+(DATE(A40,B40,1)))+21</f>
        <v>43852</v>
      </c>
      <c r="E42" s="37">
        <f t="shared" si="10"/>
        <v>43852</v>
      </c>
      <c r="F42" s="14" t="str">
        <f t="shared" si="9"/>
        <v>小川 穂波</v>
      </c>
      <c r="H42" s="72"/>
      <c r="I42" s="81"/>
      <c r="J42" s="81"/>
      <c r="K42" s="81"/>
      <c r="L42" s="81"/>
      <c r="M42" s="81"/>
      <c r="N42" s="81"/>
      <c r="O42" s="115"/>
      <c r="P42" s="115"/>
      <c r="Q42" s="115"/>
      <c r="R42" s="115"/>
      <c r="S42" s="81"/>
      <c r="T42" s="81"/>
      <c r="U42" s="81"/>
      <c r="V42" s="81"/>
      <c r="W42" s="81"/>
      <c r="X42" s="115"/>
      <c r="Y42" s="81"/>
      <c r="Z42" s="81"/>
      <c r="AA42" s="81"/>
      <c r="AB42" s="81"/>
      <c r="AC42" s="81"/>
      <c r="AD42" s="81"/>
      <c r="AE42" s="81"/>
      <c r="AF42" s="81"/>
      <c r="AG42" s="81"/>
      <c r="AH42" s="81">
        <v>1</v>
      </c>
      <c r="AI42" s="81"/>
      <c r="AJ42" s="89"/>
      <c r="AK42" s="89"/>
      <c r="AL42" s="89"/>
      <c r="AM42" s="62"/>
      <c r="AN42" s="41"/>
      <c r="AR42" s="22" t="str">
        <f>IFERROR(HLOOKUP(D42,[3]明!$D$1:$AH$4,AR$3,FALSE),"")</f>
        <v>中村</v>
      </c>
      <c r="AS42" s="23" t="str">
        <f>IFERROR(HLOOKUP(E42,[3]明!$D$1:$AH$4,AS$3,FALSE),"")</f>
        <v>佐藤穂</v>
      </c>
      <c r="AT42" s="29" t="str">
        <f>IFERROR(HLOOKUP($D42,[3]●!$D$1:$AH$10,AT$3,FALSE),"")</f>
        <v>山本</v>
      </c>
      <c r="AU42" s="29" t="str">
        <f>IFERROR(HLOOKUP($D42,[3]●!$D$1:$AH$10,AU$3,FALSE),"")</f>
        <v>田村</v>
      </c>
      <c r="AV42" s="29" t="str">
        <f>IFERROR(HLOOKUP($D42,[3]●!$D$1:$AH$10,AV$3,FALSE),"")</f>
        <v>村中</v>
      </c>
      <c r="AW42" s="29" t="str">
        <f>IFERROR(HLOOKUP($D42,[3]●!$D$1:$AH$10,AW$3,FALSE),"")</f>
        <v>阪井田</v>
      </c>
      <c r="AX42" s="29" t="str">
        <f>IFERROR(HLOOKUP($D42,[3]●!$D$1:$AH$10,AX$3,FALSE),"")</f>
        <v/>
      </c>
      <c r="AY42" s="29" t="str">
        <f>IFERROR(HLOOKUP($D42,[3]●!$D$1:$AH$10,AY$3,FALSE),"")</f>
        <v/>
      </c>
    </row>
    <row r="43" spans="1:59" ht="13.9" customHeight="1" x14ac:dyDescent="0.15">
      <c r="A43" s="10">
        <v>2020</v>
      </c>
      <c r="B43" s="8" t="s">
        <v>23</v>
      </c>
      <c r="C43" s="67">
        <f t="shared" si="4"/>
        <v>43862</v>
      </c>
      <c r="D43" s="36">
        <f>IF(WEEKDAY((DATE(A43,B43,1)))&gt;4,(7-(WEEKDAY((DATE(A43,B43,1)))-4))+(DATE(A43,B43,1)),4-WEEKDAY((DATE(A43,B43,1)))+(DATE(A43,B43,1)))+7</f>
        <v>43873</v>
      </c>
      <c r="E43" s="37">
        <f t="shared" si="10"/>
        <v>43873</v>
      </c>
      <c r="F43" s="14" t="str">
        <f t="shared" si="9"/>
        <v/>
      </c>
      <c r="H43" s="72"/>
      <c r="I43" s="81"/>
      <c r="J43" s="81"/>
      <c r="K43" s="81"/>
      <c r="L43" s="81"/>
      <c r="M43" s="81"/>
      <c r="N43" s="81"/>
      <c r="O43" s="115"/>
      <c r="P43" s="115"/>
      <c r="Q43" s="115"/>
      <c r="R43" s="115"/>
      <c r="S43" s="81"/>
      <c r="T43" s="81"/>
      <c r="U43" s="81"/>
      <c r="V43" s="81"/>
      <c r="W43" s="81"/>
      <c r="X43" s="115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89"/>
      <c r="AK43" s="89"/>
      <c r="AL43" s="89"/>
      <c r="AM43" s="62"/>
      <c r="AN43" s="41"/>
      <c r="AR43" s="22" t="str">
        <f>IFERROR(HLOOKUP(D43,[4]明!$D$1:$AH$4,AR$3,FALSE),"")</f>
        <v>清水</v>
      </c>
      <c r="AS43" s="23" t="str">
        <f>IFERROR(HLOOKUP(E43,[4]明!$D$1:$AH$4,AS$3,FALSE),"")</f>
        <v>平田恵</v>
      </c>
      <c r="AT43" s="29" t="str">
        <f>IFERROR(HLOOKUP($D43,[4]●!$D$1:$AH$10,AT$3,FALSE),"")</f>
        <v>平田真</v>
      </c>
      <c r="AU43" s="29" t="str">
        <f>IFERROR(HLOOKUP($D43,[4]●!$D$1:$AH$10,AU$3,FALSE),"")</f>
        <v>南</v>
      </c>
      <c r="AV43" s="29" t="str">
        <f>IFERROR(HLOOKUP($D43,[4]●!$D$1:$AH$10,AV$3,FALSE),"")</f>
        <v>田村</v>
      </c>
      <c r="AW43" s="29" t="str">
        <f>IFERROR(HLOOKUP($D43,[4]●!$D$1:$AH$10,AW$3,FALSE),"")</f>
        <v>村中</v>
      </c>
      <c r="AX43" s="29" t="str">
        <f>IFERROR(HLOOKUP($D43,[4]●!$D$1:$AH$10,AX$3,FALSE),"")</f>
        <v>阪井田</v>
      </c>
      <c r="AY43" s="29" t="str">
        <f>IFERROR(HLOOKUP($D43,[4]●!$D$1:$AH$10,AY$3,FALSE),"")</f>
        <v/>
      </c>
    </row>
    <row r="44" spans="1:59" ht="13.9" customHeight="1" x14ac:dyDescent="0.15">
      <c r="A44" s="10">
        <v>2020</v>
      </c>
      <c r="B44" s="8" t="s">
        <v>23</v>
      </c>
      <c r="C44" s="67">
        <f t="shared" si="4"/>
        <v>43862</v>
      </c>
      <c r="D44" s="38">
        <f>IF(WEEKDAY(DATE(A44,B44,1))&gt;3,(7-(WEEKDAY(DATE(A44,B44,1))-3))+DATE(A44,B44,1),3-WEEKDAY(DATE(A44,B44,1))+DATE(A44,B44,1))+14</f>
        <v>43879</v>
      </c>
      <c r="E44" s="37">
        <f t="shared" si="10"/>
        <v>43879</v>
      </c>
      <c r="F44" s="14" t="str">
        <f t="shared" si="9"/>
        <v>山本 浩之</v>
      </c>
      <c r="H44" s="72"/>
      <c r="I44" s="81"/>
      <c r="J44" s="81"/>
      <c r="K44" s="81"/>
      <c r="L44" s="81"/>
      <c r="M44" s="81"/>
      <c r="N44" s="81"/>
      <c r="O44" s="115"/>
      <c r="P44" s="115">
        <v>1</v>
      </c>
      <c r="Q44" s="115"/>
      <c r="R44" s="115"/>
      <c r="S44" s="81"/>
      <c r="T44" s="81"/>
      <c r="U44" s="81"/>
      <c r="V44" s="81"/>
      <c r="W44" s="81"/>
      <c r="X44" s="115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9"/>
      <c r="AK44" s="89"/>
      <c r="AL44" s="89"/>
      <c r="AM44" s="62"/>
      <c r="AN44" s="41"/>
      <c r="AR44" s="22" t="str">
        <f>IFERROR(HLOOKUP(D44,[4]明!$D$1:$AH$4,AR$3,FALSE),"")</f>
        <v>大橋</v>
      </c>
      <c r="AS44" s="23" t="str">
        <f>IFERROR(HLOOKUP(E44,[4]明!$D$1:$AH$4,AS$3,FALSE),"")</f>
        <v>山本</v>
      </c>
      <c r="AT44" s="29" t="str">
        <f>IFERROR(HLOOKUP($D44,[4]●!$D$1:$AH$10,AT$3,FALSE),"")</f>
        <v>黒田辰</v>
      </c>
      <c r="AU44" s="29" t="str">
        <f>IFERROR(HLOOKUP($D44,[4]●!$D$1:$AH$10,AU$3,FALSE),"")</f>
        <v>本田</v>
      </c>
      <c r="AV44" s="29" t="str">
        <f>IFERROR(HLOOKUP($D44,[4]●!$D$1:$AH$10,AV$3,FALSE),"")</f>
        <v>大畑</v>
      </c>
      <c r="AW44" s="29" t="str">
        <f>IFERROR(HLOOKUP($D44,[4]●!$D$1:$AH$10,AW$3,FALSE),"")</f>
        <v>谷口</v>
      </c>
      <c r="AX44" s="29" t="str">
        <f>IFERROR(HLOOKUP($D44,[4]●!$D$1:$AH$10,AX$3,FALSE),"")</f>
        <v>村中</v>
      </c>
      <c r="AY44" s="29" t="str">
        <f>IFERROR(HLOOKUP($D44,[4]●!$D$1:$AH$10,AY$3,FALSE),"")</f>
        <v>阪井田</v>
      </c>
    </row>
    <row r="45" spans="1:59" ht="13.9" customHeight="1" x14ac:dyDescent="0.15">
      <c r="A45" s="10">
        <v>2020</v>
      </c>
      <c r="B45" s="8" t="s">
        <v>23</v>
      </c>
      <c r="C45" s="67">
        <f t="shared" si="4"/>
        <v>43862</v>
      </c>
      <c r="D45" s="36">
        <f>IF(WEEKDAY((DATE(A43,B43,1)))&gt;4,(7-(WEEKDAY((DATE(A43,B43,1)))-4))+(DATE(A43,B43,1)),4-WEEKDAY((DATE(A43,B43,1)))+(DATE(A43,B43,1)))+21</f>
        <v>43887</v>
      </c>
      <c r="E45" s="37">
        <f t="shared" si="10"/>
        <v>43887</v>
      </c>
      <c r="F45" s="14" t="str">
        <f t="shared" si="9"/>
        <v>薬司 康平</v>
      </c>
      <c r="H45" s="72"/>
      <c r="I45" s="81"/>
      <c r="J45" s="81"/>
      <c r="K45" s="81"/>
      <c r="L45" s="81"/>
      <c r="M45" s="81"/>
      <c r="N45" s="81"/>
      <c r="O45" s="115"/>
      <c r="P45" s="115"/>
      <c r="Q45" s="115"/>
      <c r="R45" s="115"/>
      <c r="S45" s="81"/>
      <c r="T45" s="81"/>
      <c r="U45" s="81"/>
      <c r="V45" s="81"/>
      <c r="W45" s="81"/>
      <c r="X45" s="115"/>
      <c r="Y45" s="81"/>
      <c r="Z45" s="81"/>
      <c r="AA45" s="81"/>
      <c r="AB45" s="81"/>
      <c r="AC45" s="81"/>
      <c r="AD45" s="81"/>
      <c r="AE45" s="81"/>
      <c r="AF45" s="81"/>
      <c r="AG45" s="81">
        <v>1</v>
      </c>
      <c r="AH45" s="81"/>
      <c r="AI45" s="81"/>
      <c r="AJ45" s="89"/>
      <c r="AK45" s="89"/>
      <c r="AL45" s="89"/>
      <c r="AM45" s="62"/>
      <c r="AN45" s="41"/>
      <c r="AR45" s="22" t="str">
        <f>IFERROR(HLOOKUP(D45,[4]明!$D$1:$AH$4,AR$3,FALSE),"")</f>
        <v>山下</v>
      </c>
      <c r="AS45" s="23" t="str">
        <f>IFERROR(HLOOKUP(E45,[4]明!$D$1:$AH$4,AS$3,FALSE),"")</f>
        <v>佐藤穂</v>
      </c>
      <c r="AT45" s="29" t="str">
        <f>IFERROR(HLOOKUP($D45,[4]●!$D$1:$AH$10,AT$3,FALSE),"")</f>
        <v>山田</v>
      </c>
      <c r="AU45" s="29" t="str">
        <f>IFERROR(HLOOKUP($D45,[4]●!$D$1:$AH$10,AU$3,FALSE),"")</f>
        <v>本田</v>
      </c>
      <c r="AV45" s="29" t="str">
        <f>IFERROR(HLOOKUP($D45,[4]●!$D$1:$AH$10,AV$3,FALSE),"")</f>
        <v>薬司</v>
      </c>
      <c r="AW45" s="29" t="str">
        <f>IFERROR(HLOOKUP($D45,[4]●!$D$1:$AH$10,AW$3,FALSE),"")</f>
        <v>大畑</v>
      </c>
      <c r="AX45" s="29" t="str">
        <f>IFERROR(HLOOKUP($D45,[4]●!$D$1:$AH$10,AX$3,FALSE),"")</f>
        <v>村中</v>
      </c>
      <c r="AY45" s="29" t="str">
        <f>IFERROR(HLOOKUP($D45,[4]●!$D$1:$AH$10,AY$3,FALSE),"")</f>
        <v>阪井田</v>
      </c>
    </row>
    <row r="46" spans="1:59" ht="13.9" customHeight="1" x14ac:dyDescent="0.15">
      <c r="A46" s="10">
        <v>2020</v>
      </c>
      <c r="B46" s="10" t="s">
        <v>24</v>
      </c>
      <c r="C46" s="67">
        <f t="shared" si="4"/>
        <v>43891</v>
      </c>
      <c r="D46" s="36">
        <f t="shared" ref="D46" si="11">IF(WEEKDAY((DATE(A46,B46,1)))&gt;4,(7-(WEEKDAY((DATE(A46,B46,1)))-4))+(DATE(A46,B46,1)),4-WEEKDAY((DATE(A46,B46,1)))+(DATE(A46,B46,1)))+7</f>
        <v>43901</v>
      </c>
      <c r="E46" s="37">
        <f t="shared" si="10"/>
        <v>43901</v>
      </c>
      <c r="F46" s="14" t="str">
        <f t="shared" si="9"/>
        <v>菅野　祐萌</v>
      </c>
      <c r="H46" s="72"/>
      <c r="I46" s="81"/>
      <c r="J46" s="81"/>
      <c r="K46" s="81"/>
      <c r="L46" s="81"/>
      <c r="M46" s="81"/>
      <c r="N46" s="81"/>
      <c r="O46" s="115"/>
      <c r="P46" s="115"/>
      <c r="Q46" s="115"/>
      <c r="R46" s="115"/>
      <c r="S46" s="81">
        <v>1</v>
      </c>
      <c r="T46" s="81"/>
      <c r="U46" s="81"/>
      <c r="V46" s="81"/>
      <c r="W46" s="81"/>
      <c r="X46" s="115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9"/>
      <c r="AK46" s="89"/>
      <c r="AL46" s="89"/>
      <c r="AM46" s="62"/>
      <c r="AN46" s="41"/>
      <c r="AR46" s="22" t="str">
        <f>IFERROR(HLOOKUP(D46,[5]明!$D$1:$AH$4,AR$3,FALSE),"")</f>
        <v>大橋</v>
      </c>
      <c r="AS46" s="23" t="str">
        <f>IFERROR(HLOOKUP(E46,[5]明!$D$1:$AH$4,AS$3,FALSE),"")</f>
        <v>佐藤穂</v>
      </c>
      <c r="AT46" s="29" t="str">
        <f>IFERROR(HLOOKUP($D46,[5]●!$D$1:$AH$10,AT$3,FALSE),"")</f>
        <v>山村</v>
      </c>
      <c r="AU46" s="29" t="str">
        <f>IFERROR(HLOOKUP($D46,[5]●!$D$1:$AH$10,AU$3,FALSE),"")</f>
        <v>清水</v>
      </c>
      <c r="AV46" s="29" t="str">
        <f>IFERROR(HLOOKUP($D46,[5]●!$D$1:$AH$10,AV$3,FALSE),"")</f>
        <v>村中</v>
      </c>
      <c r="AW46" s="29" t="str">
        <f>IFERROR(HLOOKUP($D46,[5]●!$D$1:$AH$10,AW$3,FALSE),"")</f>
        <v>阪井田</v>
      </c>
      <c r="AX46" s="29" t="str">
        <f>IFERROR(HLOOKUP($D46,[5]●!$D$1:$AH$10,AX$3,FALSE),"")</f>
        <v/>
      </c>
      <c r="AY46" s="29" t="str">
        <f>IFERROR(HLOOKUP($D46,[5]●!$D$1:$AH$10,AY$3,FALSE),"")</f>
        <v/>
      </c>
    </row>
    <row r="47" spans="1:59" ht="13.9" customHeight="1" x14ac:dyDescent="0.15">
      <c r="A47" s="10">
        <v>2020</v>
      </c>
      <c r="B47" s="10" t="s">
        <v>24</v>
      </c>
      <c r="C47" s="67">
        <f t="shared" si="4"/>
        <v>43891</v>
      </c>
      <c r="D47" s="38">
        <f t="shared" ref="D47" si="12">IF(WEEKDAY(DATE(A47,B47,1))&gt;3,(7-(WEEKDAY(DATE(A47,B47,1))-3))+DATE(A47,B47,1),3-WEEKDAY(DATE(A47,B47,1))+DATE(A47,B47,1))+14</f>
        <v>43907</v>
      </c>
      <c r="E47" s="37">
        <f t="shared" si="10"/>
        <v>43907</v>
      </c>
      <c r="F47" s="14" t="str">
        <f t="shared" si="9"/>
        <v>別所　貴仁</v>
      </c>
      <c r="H47" s="72"/>
      <c r="I47" s="81"/>
      <c r="J47" s="81"/>
      <c r="K47" s="81"/>
      <c r="L47" s="81"/>
      <c r="M47" s="81"/>
      <c r="N47" s="81">
        <v>1</v>
      </c>
      <c r="O47" s="115"/>
      <c r="P47" s="115"/>
      <c r="Q47" s="115"/>
      <c r="R47" s="115"/>
      <c r="S47" s="81"/>
      <c r="T47" s="81"/>
      <c r="U47" s="81"/>
      <c r="V47" s="81"/>
      <c r="W47" s="81"/>
      <c r="X47" s="115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9"/>
      <c r="AK47" s="89"/>
      <c r="AL47" s="89"/>
      <c r="AM47" s="62"/>
      <c r="AN47" s="41"/>
      <c r="AR47" s="22" t="str">
        <f>IFERROR(HLOOKUP(D47,[5]明!$D$1:$AH$4,AR$3,FALSE),"")</f>
        <v>清水</v>
      </c>
      <c r="AS47" s="23" t="str">
        <f>IFERROR(HLOOKUP(E47,[5]明!$D$1:$AH$4,AS$3,FALSE),"")</f>
        <v>庵</v>
      </c>
      <c r="AT47" s="29" t="str">
        <f>IFERROR(HLOOKUP($D47,[5]●!$D$1:$AH$10,AT$3,FALSE),"")</f>
        <v>中井</v>
      </c>
      <c r="AU47" s="29" t="str">
        <f>IFERROR(HLOOKUP($D47,[5]●!$D$1:$AH$10,AU$3,FALSE),"")</f>
        <v>平田恵</v>
      </c>
      <c r="AV47" s="29" t="str">
        <f>IFERROR(HLOOKUP($D47,[5]●!$D$1:$AH$10,AV$3,FALSE),"")</f>
        <v>大畑</v>
      </c>
      <c r="AW47" s="29" t="str">
        <f>IFERROR(HLOOKUP($D47,[5]●!$D$1:$AH$10,AW$3,FALSE),"")</f>
        <v>谷口</v>
      </c>
      <c r="AX47" s="29" t="str">
        <f>IFERROR(HLOOKUP($D47,[5]●!$D$1:$AH$10,AX$3,FALSE),"")</f>
        <v>村中</v>
      </c>
      <c r="AY47" s="29" t="str">
        <f>IFERROR(HLOOKUP($D47,[5]●!$D$1:$AH$10,AY$3,FALSE),"")</f>
        <v>阪井田</v>
      </c>
    </row>
    <row r="48" spans="1:59" ht="13.9" customHeight="1" x14ac:dyDescent="0.15">
      <c r="A48" s="10">
        <v>2020</v>
      </c>
      <c r="B48" s="10" t="s">
        <v>24</v>
      </c>
      <c r="C48" s="67">
        <f t="shared" si="4"/>
        <v>43891</v>
      </c>
      <c r="D48" s="36">
        <f t="shared" ref="D48" si="13">IF(WEEKDAY((DATE(A46,B46,1)))&gt;4,(7-(WEEKDAY((DATE(A46,B46,1)))-4))+(DATE(A46,B46,1)),4-WEEKDAY((DATE(A46,B46,1)))+(DATE(A46,B46,1)))+21</f>
        <v>43915</v>
      </c>
      <c r="E48" s="37">
        <f t="shared" si="10"/>
        <v>43915</v>
      </c>
      <c r="F48" s="14" t="str">
        <f t="shared" si="9"/>
        <v/>
      </c>
      <c r="H48" s="72"/>
      <c r="I48" s="81"/>
      <c r="J48" s="81"/>
      <c r="K48" s="81"/>
      <c r="L48" s="81"/>
      <c r="M48" s="81"/>
      <c r="N48" s="81"/>
      <c r="O48" s="115"/>
      <c r="P48" s="115"/>
      <c r="Q48" s="115"/>
      <c r="R48" s="115"/>
      <c r="S48" s="81"/>
      <c r="T48" s="81"/>
      <c r="U48" s="81"/>
      <c r="V48" s="81"/>
      <c r="W48" s="81"/>
      <c r="X48" s="115"/>
      <c r="Y48" s="81"/>
      <c r="Z48" s="81"/>
      <c r="AA48" s="81"/>
      <c r="AB48" s="81"/>
      <c r="AC48" s="81"/>
      <c r="AD48" s="81"/>
      <c r="AE48" s="81"/>
      <c r="AF48" s="81"/>
      <c r="AG48" s="81"/>
      <c r="AH48" s="81"/>
      <c r="AI48" s="81"/>
      <c r="AJ48" s="89"/>
      <c r="AK48" s="89"/>
      <c r="AL48" s="89"/>
      <c r="AM48" s="62"/>
      <c r="AN48" s="41"/>
      <c r="AR48" s="22" t="str">
        <f>IFERROR(HLOOKUP(D48,[5]明!$D$1:$AH$4,AR$3,FALSE),"")</f>
        <v>中井</v>
      </c>
      <c r="AS48" s="23" t="str">
        <f>IFERROR(HLOOKUP(E48,[5]明!$D$1:$AH$4,AS$3,FALSE),"")</f>
        <v>西郡</v>
      </c>
      <c r="AT48" s="29" t="str">
        <f>IFERROR(HLOOKUP($D48,[5]●!$D$1:$AH$10,AT$3,FALSE),"")</f>
        <v>中村</v>
      </c>
      <c r="AU48" s="29" t="str">
        <f>IFERROR(HLOOKUP($D48,[5]●!$D$1:$AH$10,AU$3,FALSE),"")</f>
        <v>加藤</v>
      </c>
      <c r="AV48" s="29" t="str">
        <f>IFERROR(HLOOKUP($D48,[5]●!$D$1:$AH$10,AV$3,FALSE),"")</f>
        <v>本田</v>
      </c>
      <c r="AW48" s="29" t="str">
        <f>IFERROR(HLOOKUP($D48,[5]●!$D$1:$AH$10,AW$3,FALSE),"")</f>
        <v>村中</v>
      </c>
      <c r="AX48" s="29" t="str">
        <f>IFERROR(HLOOKUP($D48,[5]●!$D$1:$AH$10,AX$3,FALSE),"")</f>
        <v>阪井田</v>
      </c>
      <c r="AY48" s="29" t="str">
        <f>IFERROR(HLOOKUP($D48,[5]●!$D$1:$AH$10,AY$3,FALSE),"")</f>
        <v/>
      </c>
    </row>
    <row r="49" spans="1:51" ht="13.9" customHeight="1" x14ac:dyDescent="0.15">
      <c r="A49" s="10">
        <v>2020</v>
      </c>
      <c r="B49" s="10" t="s">
        <v>39</v>
      </c>
      <c r="C49" s="67">
        <f t="shared" si="4"/>
        <v>43922</v>
      </c>
      <c r="D49" s="36">
        <f t="shared" ref="D49" si="14">IF(WEEKDAY((DATE(A49,B49,1)))&gt;4,(7-(WEEKDAY((DATE(A49,B49,1)))-4))+(DATE(A49,B49,1)),4-WEEKDAY((DATE(A49,B49,1)))+(DATE(A49,B49,1)))+7</f>
        <v>43929</v>
      </c>
      <c r="E49" s="37">
        <f t="shared" si="10"/>
        <v>43929</v>
      </c>
      <c r="F49" s="14" t="str">
        <f t="shared" ref="F49:F75" si="15">IFERROR(INDEX($H$1:$AN$1,1,MATCH(1,H49:AN49)),"")</f>
        <v>澤野 正樹</v>
      </c>
      <c r="H49" s="72"/>
      <c r="I49" s="81"/>
      <c r="J49" s="81"/>
      <c r="K49" s="81"/>
      <c r="L49" s="81"/>
      <c r="M49" s="81"/>
      <c r="N49" s="81"/>
      <c r="O49" s="115"/>
      <c r="P49" s="115"/>
      <c r="Q49" s="115"/>
      <c r="R49" s="115">
        <v>1</v>
      </c>
      <c r="S49" s="81"/>
      <c r="T49" s="81"/>
      <c r="U49" s="81"/>
      <c r="V49" s="81"/>
      <c r="W49" s="81"/>
      <c r="X49" s="115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9"/>
      <c r="AK49" s="89"/>
      <c r="AL49" s="89"/>
      <c r="AM49" s="62"/>
      <c r="AN49" s="41"/>
      <c r="AR49" s="22" t="str">
        <f>IFERROR(HLOOKUP(D49,[6]明!$D$1:$AH$4,AR$3,FALSE),"")</f>
        <v>澤野</v>
      </c>
      <c r="AS49" s="23" t="str">
        <f>IFERROR(HLOOKUP(E49,[6]明!$D$1:$AH$4,AS$3,FALSE),"")</f>
        <v>佐藤穂</v>
      </c>
      <c r="AT49" s="29" t="str">
        <f>IFERROR(HLOOKUP($D49,[6]●!$D$1:$AH$10,AT$3,FALSE),"")</f>
        <v>谷口</v>
      </c>
      <c r="AU49" s="29" t="str">
        <f>IFERROR(HLOOKUP($D49,[6]●!$D$1:$AH$10,AU$3,FALSE),"")</f>
        <v>村中</v>
      </c>
      <c r="AV49" s="29" t="str">
        <f>IFERROR(HLOOKUP($D49,[6]●!$D$1:$AH$10,AV$3,FALSE),"")</f>
        <v>阪井田</v>
      </c>
      <c r="AW49" s="29" t="str">
        <f>IFERROR(HLOOKUP($D49,[6]●!$D$1:$AH$10,AW$3,FALSE),"")</f>
        <v/>
      </c>
      <c r="AX49" s="29" t="str">
        <f>IFERROR(HLOOKUP($D49,[6]●!$D$1:$AH$10,AX$3,FALSE),"")</f>
        <v/>
      </c>
      <c r="AY49" s="29" t="str">
        <f>IFERROR(HLOOKUP($D49,[6]●!$D$1:$AH$10,AY$3,FALSE),"")</f>
        <v/>
      </c>
    </row>
    <row r="50" spans="1:51" ht="13.9" customHeight="1" x14ac:dyDescent="0.15">
      <c r="A50" s="10">
        <v>2020</v>
      </c>
      <c r="B50" s="10" t="s">
        <v>32</v>
      </c>
      <c r="C50" s="67">
        <f t="shared" si="4"/>
        <v>43922</v>
      </c>
      <c r="D50" s="38">
        <f t="shared" ref="D50" si="16">IF(WEEKDAY(DATE(A50,B50,1))&gt;3,(7-(WEEKDAY(DATE(A50,B50,1))-3))+DATE(A50,B50,1),3-WEEKDAY(DATE(A50,B50,1))+DATE(A50,B50,1))+14</f>
        <v>43942</v>
      </c>
      <c r="E50" s="37">
        <f t="shared" si="10"/>
        <v>43942</v>
      </c>
      <c r="F50" s="14" t="str">
        <f t="shared" si="15"/>
        <v>西明 千織</v>
      </c>
      <c r="H50" s="72">
        <v>1</v>
      </c>
      <c r="I50" s="81"/>
      <c r="J50" s="81"/>
      <c r="K50" s="81"/>
      <c r="L50" s="81"/>
      <c r="M50" s="81"/>
      <c r="N50" s="81"/>
      <c r="O50" s="115"/>
      <c r="P50" s="115"/>
      <c r="Q50" s="115"/>
      <c r="R50" s="115"/>
      <c r="S50" s="81"/>
      <c r="T50" s="81"/>
      <c r="U50" s="81"/>
      <c r="V50" s="81"/>
      <c r="W50" s="81"/>
      <c r="X50" s="115"/>
      <c r="Y50" s="81"/>
      <c r="Z50" s="81"/>
      <c r="AA50" s="81"/>
      <c r="AB50" s="81"/>
      <c r="AC50" s="81"/>
      <c r="AD50" s="81"/>
      <c r="AE50" s="81"/>
      <c r="AF50" s="81"/>
      <c r="AG50" s="81"/>
      <c r="AH50" s="81"/>
      <c r="AI50" s="81"/>
      <c r="AJ50" s="89"/>
      <c r="AK50" s="89"/>
      <c r="AL50" s="89"/>
      <c r="AM50" s="62"/>
      <c r="AN50" s="41"/>
      <c r="AR50" s="22" t="str">
        <f>IFERROR(HLOOKUP(D50,[6]明!$D$1:$AH$4,AR$3,FALSE),"")</f>
        <v>清水</v>
      </c>
      <c r="AS50" s="23" t="str">
        <f>IFERROR(HLOOKUP(E50,[6]明!$D$1:$AH$4,AS$3,FALSE),"")</f>
        <v>山田</v>
      </c>
      <c r="AT50" s="29" t="str">
        <f>IFERROR(HLOOKUP($D50,[6]●!$D$1:$AH$10,AT$3,FALSE),"")</f>
        <v>南</v>
      </c>
      <c r="AU50" s="29" t="str">
        <f>IFERROR(HLOOKUP($D50,[6]●!$D$1:$AH$10,AU$3,FALSE),"")</f>
        <v>田村</v>
      </c>
      <c r="AV50" s="29" t="str">
        <f>IFERROR(HLOOKUP($D50,[6]●!$D$1:$AH$10,AV$3,FALSE),"")</f>
        <v>庵</v>
      </c>
      <c r="AW50" s="29" t="str">
        <f>IFERROR(HLOOKUP($D50,[6]●!$D$1:$AH$10,AW$3,FALSE),"")</f>
        <v>大畑</v>
      </c>
      <c r="AX50" s="29" t="str">
        <f>IFERROR(HLOOKUP($D50,[6]●!$D$1:$AH$10,AX$3,FALSE),"")</f>
        <v>谷口</v>
      </c>
      <c r="AY50" s="29" t="str">
        <f>IFERROR(HLOOKUP($D50,[6]●!$D$1:$AH$10,AY$3,FALSE),"")</f>
        <v>村中</v>
      </c>
    </row>
    <row r="51" spans="1:51" ht="13.9" customHeight="1" x14ac:dyDescent="0.15">
      <c r="A51" s="10">
        <v>2020</v>
      </c>
      <c r="B51" s="10" t="s">
        <v>32</v>
      </c>
      <c r="C51" s="67">
        <f t="shared" si="4"/>
        <v>43922</v>
      </c>
      <c r="D51" s="36">
        <f t="shared" ref="D51" si="17">IF(WEEKDAY((DATE(A49,B49,1)))&gt;4,(7-(WEEKDAY((DATE(A49,B49,1)))-4))+(DATE(A49,B49,1)),4-WEEKDAY((DATE(A49,B49,1)))+(DATE(A49,B49,1)))+21</f>
        <v>43943</v>
      </c>
      <c r="E51" s="37">
        <f t="shared" si="10"/>
        <v>43943</v>
      </c>
      <c r="F51" s="14" t="str">
        <f t="shared" si="15"/>
        <v>小川 穂波</v>
      </c>
      <c r="H51" s="72"/>
      <c r="I51" s="81"/>
      <c r="J51" s="81"/>
      <c r="K51" s="81"/>
      <c r="L51" s="81"/>
      <c r="M51" s="81"/>
      <c r="N51" s="81"/>
      <c r="O51" s="115"/>
      <c r="P51" s="115"/>
      <c r="Q51" s="115"/>
      <c r="R51" s="115"/>
      <c r="S51" s="81"/>
      <c r="T51" s="81"/>
      <c r="U51" s="81"/>
      <c r="V51" s="81"/>
      <c r="W51" s="81"/>
      <c r="X51" s="115"/>
      <c r="Y51" s="81"/>
      <c r="Z51" s="81"/>
      <c r="AA51" s="81"/>
      <c r="AB51" s="81"/>
      <c r="AC51" s="81"/>
      <c r="AD51" s="81"/>
      <c r="AE51" s="81"/>
      <c r="AF51" s="81"/>
      <c r="AG51" s="81"/>
      <c r="AH51" s="81">
        <v>1</v>
      </c>
      <c r="AI51" s="81"/>
      <c r="AJ51" s="89"/>
      <c r="AK51" s="89"/>
      <c r="AL51" s="89"/>
      <c r="AM51" s="62"/>
      <c r="AN51" s="41"/>
      <c r="AR51" s="22" t="str">
        <f>IFERROR(HLOOKUP(D51,[6]明!$D$1:$AH$4,AR$3,FALSE),"")</f>
        <v>山本</v>
      </c>
      <c r="AS51" s="23" t="str">
        <f>IFERROR(HLOOKUP(E51,[6]明!$D$1:$AH$4,AS$3,FALSE),"")</f>
        <v>澤野</v>
      </c>
      <c r="AT51" s="29" t="str">
        <f>IFERROR(HLOOKUP($D51,[6]●!$D$1:$AH$10,AT$3,FALSE),"")</f>
        <v>庵</v>
      </c>
      <c r="AU51" s="29" t="str">
        <f>IFERROR(HLOOKUP($D51,[6]●!$D$1:$AH$10,AU$3,FALSE),"")</f>
        <v>佐藤穂</v>
      </c>
      <c r="AV51" s="29" t="str">
        <f>IFERROR(HLOOKUP($D51,[6]●!$D$1:$AH$10,AV$3,FALSE),"")</f>
        <v>谷口</v>
      </c>
      <c r="AW51" s="29" t="str">
        <f>IFERROR(HLOOKUP($D51,[6]●!$D$1:$AH$10,AW$3,FALSE),"")</f>
        <v>村中</v>
      </c>
      <c r="AX51" s="29" t="str">
        <f>IFERROR(HLOOKUP($D51,[6]●!$D$1:$AH$10,AX$3,FALSE),"")</f>
        <v>阪井田</v>
      </c>
      <c r="AY51" s="29" t="str">
        <f>IFERROR(HLOOKUP($D51,[6]●!$D$1:$AH$10,AY$3,FALSE),"")</f>
        <v/>
      </c>
    </row>
    <row r="52" spans="1:51" ht="13.9" customHeight="1" x14ac:dyDescent="0.15">
      <c r="A52" s="10">
        <v>2020</v>
      </c>
      <c r="B52" s="10" t="s">
        <v>40</v>
      </c>
      <c r="C52" s="67">
        <f t="shared" si="4"/>
        <v>43952</v>
      </c>
      <c r="D52" s="36">
        <f t="shared" ref="D52" si="18">IF(WEEKDAY((DATE(A52,B52,1)))&gt;4,(7-(WEEKDAY((DATE(A52,B52,1)))-4))+(DATE(A52,B52,1)),4-WEEKDAY((DATE(A52,B52,1)))+(DATE(A52,B52,1)))+7</f>
        <v>43964</v>
      </c>
      <c r="E52" s="37">
        <f t="shared" si="10"/>
        <v>43964</v>
      </c>
      <c r="F52" s="14" t="str">
        <f t="shared" si="15"/>
        <v>片岡 恵梨子</v>
      </c>
      <c r="H52" s="72"/>
      <c r="I52" s="81"/>
      <c r="J52" s="81"/>
      <c r="K52" s="81"/>
      <c r="L52" s="81"/>
      <c r="M52" s="81"/>
      <c r="N52" s="81"/>
      <c r="O52" s="115"/>
      <c r="P52" s="115"/>
      <c r="Q52" s="115"/>
      <c r="R52" s="115"/>
      <c r="S52" s="81"/>
      <c r="T52" s="81"/>
      <c r="U52" s="81"/>
      <c r="V52" s="81"/>
      <c r="W52" s="81"/>
      <c r="X52" s="115"/>
      <c r="Y52" s="81"/>
      <c r="Z52" s="81"/>
      <c r="AA52" s="81"/>
      <c r="AB52" s="81"/>
      <c r="AC52" s="81">
        <v>1</v>
      </c>
      <c r="AD52" s="81"/>
      <c r="AE52" s="81"/>
      <c r="AF52" s="81"/>
      <c r="AG52" s="81"/>
      <c r="AH52" s="81"/>
      <c r="AI52" s="81"/>
      <c r="AJ52" s="89"/>
      <c r="AK52" s="89"/>
      <c r="AL52" s="89"/>
      <c r="AM52" s="62"/>
      <c r="AN52" s="41"/>
      <c r="AR52" s="22" t="str">
        <f>IFERROR(HLOOKUP(D52,[7]明!$D$1:$AH$4,AR$3,FALSE),"")</f>
        <v>山村</v>
      </c>
      <c r="AS52" s="23" t="str">
        <f>IFERROR(HLOOKUP(E52,[7]明!$D$1:$AH$4,AS$3,FALSE),"")</f>
        <v>佐藤恵</v>
      </c>
      <c r="AT52" s="29" t="str">
        <f>IFERROR(HLOOKUP($D52,[7]●!$D$1:$AH$10,AT$3,FALSE),"")</f>
        <v>南</v>
      </c>
      <c r="AU52" s="29" t="str">
        <f>IFERROR(HLOOKUP($D52,[7]●!$D$1:$AH$10,AU$3,FALSE),"")</f>
        <v>平田恵</v>
      </c>
      <c r="AV52" s="29" t="str">
        <f>IFERROR(HLOOKUP($D52,[7]●!$D$1:$AH$10,AV$3,FALSE),"")</f>
        <v>薬司</v>
      </c>
      <c r="AW52" s="29" t="str">
        <f>IFERROR(HLOOKUP($D52,[7]●!$D$1:$AH$10,AW$3,FALSE),"")</f>
        <v>村中</v>
      </c>
      <c r="AX52" s="29" t="str">
        <f>IFERROR(HLOOKUP($D52,[7]●!$D$1:$AH$10,AX$3,FALSE),"")</f>
        <v>阪井田</v>
      </c>
      <c r="AY52" s="29" t="str">
        <f>IFERROR(HLOOKUP($D52,[7]●!$D$1:$AH$10,AY$3,FALSE),"")</f>
        <v/>
      </c>
    </row>
    <row r="53" spans="1:51" ht="13.9" customHeight="1" x14ac:dyDescent="0.15">
      <c r="A53" s="10">
        <v>2020</v>
      </c>
      <c r="B53" s="10" t="s">
        <v>40</v>
      </c>
      <c r="C53" s="67">
        <f t="shared" si="4"/>
        <v>43952</v>
      </c>
      <c r="D53" s="38">
        <f t="shared" ref="D53" si="19">IF(WEEKDAY(DATE(A53,B53,1))&gt;3,(7-(WEEKDAY(DATE(A53,B53,1))-3))+DATE(A53,B53,1),3-WEEKDAY(DATE(A53,B53,1))+DATE(A53,B53,1))+14</f>
        <v>43970</v>
      </c>
      <c r="E53" s="37">
        <f t="shared" si="10"/>
        <v>43970</v>
      </c>
      <c r="F53" s="14" t="str">
        <f t="shared" si="15"/>
        <v>加藤 靖博</v>
      </c>
      <c r="H53" s="72"/>
      <c r="I53" s="81"/>
      <c r="J53" s="81"/>
      <c r="K53" s="81"/>
      <c r="L53" s="81"/>
      <c r="M53" s="81"/>
      <c r="N53" s="81"/>
      <c r="O53" s="115"/>
      <c r="P53" s="115"/>
      <c r="Q53" s="115"/>
      <c r="R53" s="115"/>
      <c r="S53" s="81"/>
      <c r="T53" s="81"/>
      <c r="U53" s="81"/>
      <c r="V53" s="81"/>
      <c r="W53" s="81"/>
      <c r="X53" s="115"/>
      <c r="Y53" s="81"/>
      <c r="Z53" s="81"/>
      <c r="AA53" s="81"/>
      <c r="AB53" s="81"/>
      <c r="AC53" s="81"/>
      <c r="AD53" s="81"/>
      <c r="AE53" s="81">
        <v>1</v>
      </c>
      <c r="AF53" s="81"/>
      <c r="AG53" s="81"/>
      <c r="AH53" s="81"/>
      <c r="AI53" s="81"/>
      <c r="AJ53" s="89"/>
      <c r="AK53" s="89"/>
      <c r="AL53" s="89"/>
      <c r="AM53" s="62"/>
      <c r="AN53" s="41"/>
      <c r="AR53" s="22" t="str">
        <f>IFERROR(HLOOKUP(D53,[7]明!$D$1:$AH$4,AR$3,FALSE),"")</f>
        <v>加藤</v>
      </c>
      <c r="AS53" s="23" t="str">
        <f>IFERROR(HLOOKUP(E53,[7]明!$D$1:$AH$4,AS$3,FALSE),"")</f>
        <v>佐藤穂</v>
      </c>
      <c r="AT53" s="29" t="str">
        <f>IFERROR(HLOOKUP($D53,[7]●!$D$1:$AH$10,AT$3,FALSE),"")</f>
        <v>清水</v>
      </c>
      <c r="AU53" s="29" t="str">
        <f>IFERROR(HLOOKUP($D53,[7]●!$D$1:$AH$10,AU$3,FALSE),"")</f>
        <v>山田</v>
      </c>
      <c r="AV53" s="29" t="str">
        <f>IFERROR(HLOOKUP($D53,[7]●!$D$1:$AH$10,AV$3,FALSE),"")</f>
        <v>長田</v>
      </c>
      <c r="AW53" s="29" t="str">
        <f>IFERROR(HLOOKUP($D53,[7]●!$D$1:$AH$10,AW$3,FALSE),"")</f>
        <v>大畑</v>
      </c>
      <c r="AX53" s="29" t="str">
        <f>IFERROR(HLOOKUP($D53,[7]●!$D$1:$AH$10,AX$3,FALSE),"")</f>
        <v>谷口</v>
      </c>
      <c r="AY53" s="29" t="str">
        <f>IFERROR(HLOOKUP($D53,[7]●!$D$1:$AH$10,AY$3,FALSE),"")</f>
        <v>村中</v>
      </c>
    </row>
    <row r="54" spans="1:51" ht="13.9" customHeight="1" x14ac:dyDescent="0.15">
      <c r="A54" s="10">
        <v>2020</v>
      </c>
      <c r="B54" s="10" t="s">
        <v>40</v>
      </c>
      <c r="C54" s="67">
        <f t="shared" si="4"/>
        <v>43952</v>
      </c>
      <c r="D54" s="36">
        <f t="shared" ref="D54" si="20">IF(WEEKDAY((DATE(A52,B52,1)))&gt;4,(7-(WEEKDAY((DATE(A52,B52,1)))-4))+(DATE(A52,B52,1)),4-WEEKDAY((DATE(A52,B52,1)))+(DATE(A52,B52,1)))+21</f>
        <v>43978</v>
      </c>
      <c r="E54" s="37">
        <f t="shared" si="10"/>
        <v>43978</v>
      </c>
      <c r="F54" s="14" t="str">
        <f t="shared" si="15"/>
        <v/>
      </c>
      <c r="H54" s="72"/>
      <c r="I54" s="81"/>
      <c r="J54" s="81"/>
      <c r="K54" s="81"/>
      <c r="L54" s="81"/>
      <c r="M54" s="81"/>
      <c r="N54" s="81"/>
      <c r="O54" s="115"/>
      <c r="P54" s="115"/>
      <c r="Q54" s="115"/>
      <c r="R54" s="115"/>
      <c r="S54" s="81"/>
      <c r="T54" s="81"/>
      <c r="U54" s="81"/>
      <c r="V54" s="81"/>
      <c r="W54" s="81"/>
      <c r="X54" s="115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9"/>
      <c r="AK54" s="89"/>
      <c r="AL54" s="89"/>
      <c r="AM54" s="62"/>
      <c r="AN54" s="41"/>
      <c r="AR54" s="22" t="str">
        <f>IFERROR(HLOOKUP(D54,[7]明!$D$1:$AH$4,AR$3,FALSE),"")</f>
        <v>中村</v>
      </c>
      <c r="AS54" s="23" t="str">
        <f>IFERROR(HLOOKUP(E54,[7]明!$D$1:$AH$4,AS$3,FALSE),"")</f>
        <v>佐藤恵</v>
      </c>
      <c r="AT54" s="29" t="str">
        <f>IFERROR(HLOOKUP($D54,[7]●!$D$1:$AH$10,AT$3,FALSE),"")</f>
        <v>山下</v>
      </c>
      <c r="AU54" s="29" t="str">
        <f>IFERROR(HLOOKUP($D54,[7]●!$D$1:$AH$10,AU$3,FALSE),"")</f>
        <v>南</v>
      </c>
      <c r="AV54" s="29" t="str">
        <f>IFERROR(HLOOKUP($D54,[7]●!$D$1:$AH$10,AV$3,FALSE),"")</f>
        <v>山田</v>
      </c>
      <c r="AW54" s="29" t="str">
        <f>IFERROR(HLOOKUP($D54,[7]●!$D$1:$AH$10,AW$3,FALSE),"")</f>
        <v>西郡</v>
      </c>
      <c r="AX54" s="29" t="str">
        <f>IFERROR(HLOOKUP($D54,[7]●!$D$1:$AH$10,AX$3,FALSE),"")</f>
        <v>村中</v>
      </c>
      <c r="AY54" s="29" t="str">
        <f>IFERROR(HLOOKUP($D54,[7]●!$D$1:$AH$10,AY$3,FALSE),"")</f>
        <v>阪井田</v>
      </c>
    </row>
    <row r="55" spans="1:51" ht="13.9" customHeight="1" x14ac:dyDescent="0.15">
      <c r="A55" s="10">
        <v>2020</v>
      </c>
      <c r="B55" s="10">
        <v>6</v>
      </c>
      <c r="C55" s="67">
        <f t="shared" si="4"/>
        <v>43983</v>
      </c>
      <c r="D55" s="36">
        <f t="shared" ref="D55" si="21">IF(WEEKDAY((DATE(A55,B55,1)))&gt;4,(7-(WEEKDAY((DATE(A55,B55,1)))-4))+(DATE(A55,B55,1)),4-WEEKDAY((DATE(A55,B55,1)))+(DATE(A55,B55,1)))+7</f>
        <v>43992</v>
      </c>
      <c r="E55" s="37">
        <f t="shared" si="10"/>
        <v>43992</v>
      </c>
      <c r="F55" s="14" t="str">
        <f t="shared" si="15"/>
        <v>小竹　祐太朗　</v>
      </c>
      <c r="H55" s="72"/>
      <c r="I55" s="81"/>
      <c r="J55" s="81"/>
      <c r="K55" s="81"/>
      <c r="L55" s="81"/>
      <c r="M55" s="81">
        <v>1</v>
      </c>
      <c r="N55" s="81"/>
      <c r="O55" s="115"/>
      <c r="P55" s="115"/>
      <c r="Q55" s="115"/>
      <c r="R55" s="115"/>
      <c r="S55" s="81"/>
      <c r="T55" s="81"/>
      <c r="U55" s="81"/>
      <c r="V55" s="81"/>
      <c r="W55" s="81"/>
      <c r="X55" s="115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1"/>
      <c r="AJ55" s="89"/>
      <c r="AK55" s="89"/>
      <c r="AL55" s="89"/>
      <c r="AM55" s="62"/>
      <c r="AN55" s="41"/>
      <c r="AR55" s="22" t="str">
        <f>IFERROR(HLOOKUP(D55,[8]明!$D$1:$AH$4,AR$3,FALSE),"")</f>
        <v>山下</v>
      </c>
      <c r="AS55" s="23" t="str">
        <f>IFERROR(HLOOKUP(E55,[8]明!$D$1:$AH$4,4,FALSE),"")</f>
        <v>中村</v>
      </c>
      <c r="AT55" s="29" t="str">
        <f>IFERROR(HLOOKUP($D55,[8]●!$D$1:$AH$10,3,FALSE),"")</f>
        <v>佐藤穂</v>
      </c>
      <c r="AU55" s="29" t="str">
        <f>IFERROR(HLOOKUP($D55,[8]●!$D$1:$AH$10,4,FALSE),"")</f>
        <v>村中</v>
      </c>
      <c r="AV55" s="29" t="str">
        <f>IFERROR(HLOOKUP($D55,[8]●!$D$1:$AH$10,5,FALSE),"")</f>
        <v>阪井田</v>
      </c>
      <c r="AW55" s="29" t="str">
        <f>IFERROR(HLOOKUP($D55,[8]●!$D$1:$AH$10,6,FALSE),"")</f>
        <v/>
      </c>
      <c r="AX55" s="29" t="str">
        <f>IFERROR(HLOOKUP($D55,[8]●!$D$1:$AH$10,7,FALSE),"")</f>
        <v/>
      </c>
      <c r="AY55" s="29" t="str">
        <f>IFERROR(HLOOKUP($D55,[8]●!$D$1:$AH$10,8,FALSE),"")</f>
        <v/>
      </c>
    </row>
    <row r="56" spans="1:51" ht="13.9" customHeight="1" x14ac:dyDescent="0.15">
      <c r="A56" s="10">
        <v>2020</v>
      </c>
      <c r="B56" s="10">
        <v>6</v>
      </c>
      <c r="C56" s="67">
        <f t="shared" si="4"/>
        <v>43983</v>
      </c>
      <c r="D56" s="38">
        <f t="shared" ref="D56" si="22">IF(WEEKDAY(DATE(A56,B56,1))&gt;3,(7-(WEEKDAY(DATE(A56,B56,1))-3))+DATE(A56,B56,1),3-WEEKDAY(DATE(A56,B56,1))+DATE(A56,B56,1))+14</f>
        <v>43998</v>
      </c>
      <c r="E56" s="37">
        <f t="shared" si="10"/>
        <v>43998</v>
      </c>
      <c r="F56" s="14" t="str">
        <f t="shared" si="15"/>
        <v>西郡　健太</v>
      </c>
      <c r="H56" s="72"/>
      <c r="I56" s="81"/>
      <c r="J56" s="81"/>
      <c r="K56" s="81"/>
      <c r="L56" s="81"/>
      <c r="M56" s="81"/>
      <c r="N56" s="81"/>
      <c r="O56" s="115"/>
      <c r="P56" s="115"/>
      <c r="Q56" s="115"/>
      <c r="R56" s="115"/>
      <c r="S56" s="81"/>
      <c r="T56" s="81"/>
      <c r="U56" s="81"/>
      <c r="V56" s="81"/>
      <c r="W56" s="81"/>
      <c r="X56" s="115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>
        <v>1</v>
      </c>
      <c r="AJ56" s="89"/>
      <c r="AK56" s="89"/>
      <c r="AL56" s="89"/>
      <c r="AM56" s="62"/>
      <c r="AN56" s="41"/>
      <c r="AR56" s="22" t="str">
        <f>IFERROR(HLOOKUP(D56,[8]明!$D$1:$AH$4,3,FALSE),"")</f>
        <v>齊藤</v>
      </c>
      <c r="AS56" s="23" t="str">
        <f>IFERROR(HLOOKUP(E56,[8]明!$D$1:$AH$4,4,FALSE),"")</f>
        <v>西郡</v>
      </c>
      <c r="AT56" s="29" t="str">
        <f>IFERROR(HLOOKUP($D56,[8]●!$D$1:$AH$10,3,FALSE),"")</f>
        <v>山田</v>
      </c>
      <c r="AU56" s="29" t="str">
        <f>IFERROR(HLOOKUP($D56,[8]●!$D$1:$AH$10,4,FALSE),"")</f>
        <v>平田恵</v>
      </c>
      <c r="AV56" s="29" t="str">
        <f>IFERROR(HLOOKUP($D56,[8]●!$D$1:$AH$10,5,FALSE),"")</f>
        <v>大畑</v>
      </c>
      <c r="AW56" s="29" t="str">
        <f>IFERROR(HLOOKUP($D56,[8]●!$D$1:$AH$10,6,FALSE),"")</f>
        <v>谷口</v>
      </c>
      <c r="AX56" s="29" t="str">
        <f>IFERROR(HLOOKUP($D56,[8]●!$D$1:$AH$10,7,FALSE),"")</f>
        <v>村中</v>
      </c>
      <c r="AY56" s="29" t="str">
        <f>IFERROR(HLOOKUP($D56,[8]●!$D$1:$AH$10,8,FALSE),"")</f>
        <v/>
      </c>
    </row>
    <row r="57" spans="1:51" ht="13.9" customHeight="1" x14ac:dyDescent="0.15">
      <c r="A57" s="10">
        <v>2020</v>
      </c>
      <c r="B57" s="10">
        <v>6</v>
      </c>
      <c r="C57" s="67">
        <f t="shared" si="4"/>
        <v>43983</v>
      </c>
      <c r="D57" s="36">
        <f t="shared" ref="D57" si="23">IF(WEEKDAY((DATE(A55,B55,1)))&gt;4,(7-(WEEKDAY((DATE(A55,B55,1)))-4))+(DATE(A55,B55,1)),4-WEEKDAY((DATE(A55,B55,1)))+(DATE(A55,B55,1)))+21</f>
        <v>44006</v>
      </c>
      <c r="E57" s="37">
        <f t="shared" si="10"/>
        <v>44006</v>
      </c>
      <c r="F57" s="14" t="str">
        <f t="shared" si="15"/>
        <v>南 博之</v>
      </c>
      <c r="H57" s="72"/>
      <c r="I57" s="81"/>
      <c r="J57" s="81"/>
      <c r="K57" s="81"/>
      <c r="L57" s="81"/>
      <c r="M57" s="81"/>
      <c r="N57" s="81"/>
      <c r="O57" s="115"/>
      <c r="P57" s="115"/>
      <c r="Q57" s="115">
        <v>1</v>
      </c>
      <c r="R57" s="115"/>
      <c r="S57" s="81"/>
      <c r="T57" s="81"/>
      <c r="U57" s="81"/>
      <c r="V57" s="81"/>
      <c r="W57" s="81"/>
      <c r="X57" s="115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9"/>
      <c r="AK57" s="89"/>
      <c r="AL57" s="89"/>
      <c r="AM57" s="62"/>
      <c r="AN57" s="41"/>
      <c r="AR57" s="22" t="str">
        <f>IFERROR(HLOOKUP(D57,[8]明!$D$1:$AH$4,3,FALSE),"")</f>
        <v>中村</v>
      </c>
      <c r="AS57" s="23" t="str">
        <f>IFERROR(HLOOKUP(E57,[8]明!$D$1:$AH$4,4,FALSE),"")</f>
        <v>山田</v>
      </c>
      <c r="AT57" s="29" t="str">
        <f>IFERROR(HLOOKUP($D57,[8]●!$D$1:$AH$10,3,FALSE),"")</f>
        <v>山本</v>
      </c>
      <c r="AU57" s="29" t="str">
        <f>IFERROR(HLOOKUP($D57,[8]●!$D$1:$AH$10,4,FALSE),"")</f>
        <v>南</v>
      </c>
      <c r="AV57" s="29" t="str">
        <f>IFERROR(HLOOKUP($D57,[8]●!$D$1:$AH$10,5,FALSE),"")</f>
        <v>谷口</v>
      </c>
      <c r="AW57" s="29" t="str">
        <f>IFERROR(HLOOKUP($D57,[8]●!$D$1:$AH$10,6,FALSE),"")</f>
        <v>村中</v>
      </c>
      <c r="AX57" s="29" t="str">
        <f>IFERROR(HLOOKUP($D57,[8]●!$D$1:$AH$10,7,FALSE),"")</f>
        <v>阪井田</v>
      </c>
      <c r="AY57" s="29" t="str">
        <f>IFERROR(HLOOKUP($D57,[8]●!$D$1:$AH$10,8,FALSE),"")</f>
        <v/>
      </c>
    </row>
    <row r="58" spans="1:51" ht="13.9" customHeight="1" x14ac:dyDescent="0.15">
      <c r="A58" s="10">
        <v>2020</v>
      </c>
      <c r="B58" s="10">
        <v>7</v>
      </c>
      <c r="C58" s="67">
        <f t="shared" si="4"/>
        <v>44013</v>
      </c>
      <c r="D58" s="36">
        <f t="shared" ref="D58" si="24">IF(WEEKDAY((DATE(A58,B58,1)))&gt;4,(7-(WEEKDAY((DATE(A58,B58,1)))-4))+(DATE(A58,B58,1)),4-WEEKDAY((DATE(A58,B58,1)))+(DATE(A58,B58,1)))+7</f>
        <v>44020</v>
      </c>
      <c r="E58" s="37">
        <f t="shared" si="10"/>
        <v>44020</v>
      </c>
      <c r="F58" s="14" t="str">
        <f t="shared" si="15"/>
        <v>中川　大誠</v>
      </c>
      <c r="H58" s="72"/>
      <c r="I58" s="81"/>
      <c r="J58" s="81"/>
      <c r="K58" s="81"/>
      <c r="L58" s="81"/>
      <c r="M58" s="81"/>
      <c r="N58" s="81"/>
      <c r="O58" s="115"/>
      <c r="P58" s="115"/>
      <c r="Q58" s="115"/>
      <c r="R58" s="115"/>
      <c r="S58" s="81"/>
      <c r="T58" s="81"/>
      <c r="U58" s="81"/>
      <c r="V58" s="81"/>
      <c r="W58" s="81"/>
      <c r="X58" s="115"/>
      <c r="Y58" s="81"/>
      <c r="Z58" s="81"/>
      <c r="AA58" s="81"/>
      <c r="AB58" s="81"/>
      <c r="AC58" s="81"/>
      <c r="AD58" s="81"/>
      <c r="AE58" s="81"/>
      <c r="AF58" s="81">
        <v>1</v>
      </c>
      <c r="AG58" s="81"/>
      <c r="AH58" s="81"/>
      <c r="AI58" s="81"/>
      <c r="AJ58" s="89"/>
      <c r="AK58" s="89"/>
      <c r="AL58" s="89"/>
      <c r="AM58" s="62"/>
      <c r="AN58" s="41"/>
      <c r="AR58" s="22" t="str">
        <f>IFERROR(HLOOKUP(D58,[9]明!$D$1:$AH$4,3,FALSE),"")</f>
        <v>清水</v>
      </c>
      <c r="AS58" s="23" t="str">
        <f>IFERROR(HLOOKUP(E58,[9]明!$D$1:$AH$4,4,FALSE),"")</f>
        <v>本田</v>
      </c>
      <c r="AT58" s="29" t="str">
        <f>IFERROR(HLOOKUP($D58,[9]●!$D$1:$AH$10,3,FALSE),"")</f>
        <v>薬司</v>
      </c>
      <c r="AU58" s="29" t="str">
        <f>IFERROR(HLOOKUP($D58,[9]●!$D$1:$AH$10,4,FALSE),"")</f>
        <v>谷口</v>
      </c>
      <c r="AV58" s="29" t="str">
        <f>IFERROR(HLOOKUP($D58,[9]●!$D$1:$AH$10,5,FALSE),"")</f>
        <v>阪井田</v>
      </c>
      <c r="AW58" s="29" t="str">
        <f>IFERROR(HLOOKUP($D58,[9]●!$D$1:$AH$10,6,FALSE),"")</f>
        <v/>
      </c>
      <c r="AX58" s="29" t="str">
        <f>IFERROR(HLOOKUP($D58,[9]●!$D$1:$AH$10,7,FALSE),"")</f>
        <v/>
      </c>
      <c r="AY58" s="29" t="str">
        <f>IFERROR(HLOOKUP($D58,[9]●!$D$1:$AH$10,8,FALSE),"")</f>
        <v/>
      </c>
    </row>
    <row r="59" spans="1:51" ht="13.9" customHeight="1" x14ac:dyDescent="0.15">
      <c r="A59" s="10">
        <v>2020</v>
      </c>
      <c r="B59" s="10">
        <v>7</v>
      </c>
      <c r="C59" s="67">
        <f t="shared" si="4"/>
        <v>44013</v>
      </c>
      <c r="D59" s="38">
        <f t="shared" ref="D59" si="25">IF(WEEKDAY(DATE(A59,B59,1))&gt;3,(7-(WEEKDAY(DATE(A59,B59,1))-3))+DATE(A59,B59,1),3-WEEKDAY(DATE(A59,B59,1))+DATE(A59,B59,1))+14</f>
        <v>44033</v>
      </c>
      <c r="E59" s="37">
        <f t="shared" si="10"/>
        <v>44033</v>
      </c>
      <c r="F59" s="14" t="str">
        <f t="shared" si="15"/>
        <v>大橋 効</v>
      </c>
      <c r="H59" s="72"/>
      <c r="I59" s="81"/>
      <c r="J59" s="81"/>
      <c r="K59" s="81"/>
      <c r="L59" s="81"/>
      <c r="M59" s="81"/>
      <c r="N59" s="81"/>
      <c r="O59" s="115">
        <v>1</v>
      </c>
      <c r="P59" s="115"/>
      <c r="Q59" s="115"/>
      <c r="R59" s="115"/>
      <c r="S59" s="81"/>
      <c r="T59" s="81"/>
      <c r="U59" s="81"/>
      <c r="V59" s="81"/>
      <c r="W59" s="81"/>
      <c r="X59" s="115"/>
      <c r="Y59" s="81"/>
      <c r="Z59" s="81"/>
      <c r="AA59" s="81"/>
      <c r="AB59" s="81"/>
      <c r="AC59" s="81"/>
      <c r="AD59" s="81"/>
      <c r="AE59" s="81"/>
      <c r="AF59" s="81"/>
      <c r="AG59" s="81"/>
      <c r="AH59" s="81"/>
      <c r="AI59" s="81"/>
      <c r="AJ59" s="89"/>
      <c r="AK59" s="89"/>
      <c r="AL59" s="89"/>
      <c r="AM59" s="62"/>
      <c r="AN59" s="41"/>
      <c r="AR59" s="22" t="str">
        <f>IFERROR(HLOOKUP(D59,[9]明!$D$1:$AH$4,3,FALSE),"")</f>
        <v>山村</v>
      </c>
      <c r="AS59" s="23" t="str">
        <f>IFERROR(HLOOKUP(E59,[9]明!$D$1:$AH$4,4,FALSE),"")</f>
        <v>山本</v>
      </c>
      <c r="AT59" s="29" t="str">
        <f>IFERROR(HLOOKUP($D59,[9]●!$D$1:$AH$10,3,FALSE),"")</f>
        <v>大橋</v>
      </c>
      <c r="AU59" s="29" t="str">
        <f>IFERROR(HLOOKUP($D59,[9]●!$D$1:$AH$10,4,FALSE),"")</f>
        <v>佐藤恵</v>
      </c>
      <c r="AV59" s="29" t="str">
        <f>IFERROR(HLOOKUP($D59,[9]●!$D$1:$AH$10,5,FALSE),"")</f>
        <v>薬司</v>
      </c>
      <c r="AW59" s="29" t="str">
        <f>IFERROR(HLOOKUP($D59,[9]●!$D$1:$AH$10,6,FALSE),"")</f>
        <v>大畑</v>
      </c>
      <c r="AX59" s="29" t="str">
        <f>IFERROR(HLOOKUP($D59,[9]●!$D$1:$AH$10,7,FALSE),"")</f>
        <v>谷口</v>
      </c>
      <c r="AY59" s="29" t="str">
        <f>IFERROR(HLOOKUP($D59,[9]●!$D$1:$AH$10,8,FALSE),"")</f>
        <v/>
      </c>
    </row>
    <row r="60" spans="1:51" ht="13.9" customHeight="1" x14ac:dyDescent="0.15">
      <c r="A60" s="10">
        <v>2020</v>
      </c>
      <c r="B60" s="10">
        <v>7</v>
      </c>
      <c r="C60" s="67">
        <f t="shared" si="4"/>
        <v>44013</v>
      </c>
      <c r="D60" s="36">
        <f t="shared" ref="D60" si="26">IF(WEEKDAY((DATE(A58,B58,1)))&gt;4,(7-(WEEKDAY((DATE(A58,B58,1)))-4))+(DATE(A58,B58,1)),4-WEEKDAY((DATE(A58,B58,1)))+(DATE(A58,B58,1)))+21</f>
        <v>44034</v>
      </c>
      <c r="E60" s="37">
        <f t="shared" si="10"/>
        <v>44034</v>
      </c>
      <c r="F60" s="14" t="str">
        <f t="shared" si="15"/>
        <v>加藤 靖博</v>
      </c>
      <c r="H60" s="72"/>
      <c r="I60" s="81"/>
      <c r="J60" s="81"/>
      <c r="K60" s="81"/>
      <c r="L60" s="81"/>
      <c r="M60" s="81"/>
      <c r="N60" s="81"/>
      <c r="O60" s="115"/>
      <c r="P60" s="115"/>
      <c r="Q60" s="115"/>
      <c r="R60" s="115"/>
      <c r="S60" s="81"/>
      <c r="T60" s="81"/>
      <c r="U60" s="81"/>
      <c r="V60" s="81"/>
      <c r="W60" s="81"/>
      <c r="X60" s="115"/>
      <c r="Y60" s="81"/>
      <c r="Z60" s="81"/>
      <c r="AA60" s="81"/>
      <c r="AB60" s="81"/>
      <c r="AC60" s="81"/>
      <c r="AD60" s="81"/>
      <c r="AE60" s="81">
        <v>1</v>
      </c>
      <c r="AF60" s="81"/>
      <c r="AG60" s="81"/>
      <c r="AH60" s="81"/>
      <c r="AI60" s="81"/>
      <c r="AJ60" s="89"/>
      <c r="AK60" s="89"/>
      <c r="AL60" s="89"/>
      <c r="AM60" s="62"/>
      <c r="AN60" s="41"/>
      <c r="AR60" s="22" t="str">
        <f>IFERROR(HLOOKUP(D60,[9]明!$D$1:$AH$4,3,FALSE),"")</f>
        <v>庵</v>
      </c>
      <c r="AS60" s="23" t="str">
        <f>IFERROR(HLOOKUP(E60,[9]明!$D$1:$AH$4,4,FALSE),"")</f>
        <v>加藤</v>
      </c>
      <c r="AT60" s="29" t="str">
        <f>IFERROR(HLOOKUP($D60,[9]●!$D$1:$AH$10,3,FALSE),"")</f>
        <v>山下</v>
      </c>
      <c r="AU60" s="29" t="str">
        <f>IFERROR(HLOOKUP($D60,[9]●!$D$1:$AH$10,4,FALSE),"")</f>
        <v>田村</v>
      </c>
      <c r="AV60" s="29" t="str">
        <f>IFERROR(HLOOKUP($D60,[9]●!$D$1:$AH$10,5,FALSE),"")</f>
        <v>西郡</v>
      </c>
      <c r="AW60" s="29" t="str">
        <f>IFERROR(HLOOKUP($D60,[9]●!$D$1:$AH$10,6,FALSE),"")</f>
        <v>谷口</v>
      </c>
      <c r="AX60" s="29" t="str">
        <f>IFERROR(HLOOKUP($D60,[9]●!$D$1:$AH$10,7,FALSE),"")</f>
        <v>阪井田</v>
      </c>
      <c r="AY60" s="29" t="str">
        <f>IFERROR(HLOOKUP($D60,[9]●!$D$1:$AH$10,8,FALSE),"")</f>
        <v/>
      </c>
    </row>
    <row r="61" spans="1:51" ht="13.9" customHeight="1" x14ac:dyDescent="0.15">
      <c r="A61" s="10">
        <v>2020</v>
      </c>
      <c r="B61" s="10">
        <v>8</v>
      </c>
      <c r="C61" s="67">
        <f t="shared" si="4"/>
        <v>44044</v>
      </c>
      <c r="D61" s="36">
        <f t="shared" ref="D61" si="27">IF(WEEKDAY((DATE(A61,B61,1)))&gt;4,(7-(WEEKDAY((DATE(A61,B61,1)))-4))+(DATE(A61,B61,1)),4-WEEKDAY((DATE(A61,B61,1)))+(DATE(A61,B61,1)))+7</f>
        <v>44055</v>
      </c>
      <c r="E61" s="37">
        <f t="shared" si="10"/>
        <v>44055</v>
      </c>
      <c r="F61" s="14" t="str">
        <f t="shared" si="15"/>
        <v>澤野 正樹</v>
      </c>
      <c r="H61" s="72"/>
      <c r="I61" s="81"/>
      <c r="J61" s="81"/>
      <c r="K61" s="81"/>
      <c r="L61" s="81"/>
      <c r="M61" s="81"/>
      <c r="N61" s="81"/>
      <c r="O61" s="115"/>
      <c r="P61" s="115"/>
      <c r="Q61" s="115"/>
      <c r="R61" s="115">
        <v>1</v>
      </c>
      <c r="S61" s="81"/>
      <c r="T61" s="81"/>
      <c r="U61" s="81"/>
      <c r="V61" s="81"/>
      <c r="W61" s="81"/>
      <c r="X61" s="115"/>
      <c r="Y61" s="81"/>
      <c r="Z61" s="81"/>
      <c r="AA61" s="81"/>
      <c r="AB61" s="81"/>
      <c r="AC61" s="81"/>
      <c r="AD61" s="81"/>
      <c r="AE61" s="81"/>
      <c r="AF61" s="81"/>
      <c r="AG61" s="81"/>
      <c r="AH61" s="81"/>
      <c r="AI61" s="81"/>
      <c r="AJ61" s="89"/>
      <c r="AK61" s="89"/>
      <c r="AL61" s="89"/>
      <c r="AM61" s="62"/>
      <c r="AN61" s="41"/>
      <c r="AR61" s="22" t="str">
        <f>IFERROR(HLOOKUP(D61,[10]明!$D$1:$AH$4,3,FALSE),"")</f>
        <v>中村</v>
      </c>
      <c r="AS61" s="23" t="str">
        <f>IFERROR(HLOOKUP(E61,[10]明!$D$1:$AH$4,4,FALSE),"")</f>
        <v>澤野</v>
      </c>
      <c r="AT61" s="29" t="str">
        <f>IFERROR(HLOOKUP($D61,[10]●!$D$1:$AH$10,3,FALSE),"")</f>
        <v>中井</v>
      </c>
      <c r="AU61" s="29" t="str">
        <f>IFERROR(HLOOKUP($D61,[10]●!$D$1:$AH$10,4,FALSE),"")</f>
        <v>大橋</v>
      </c>
      <c r="AV61" s="29" t="str">
        <f>IFERROR(HLOOKUP($D61,[10]●!$D$1:$AH$10,5,FALSE),"")</f>
        <v>大畑</v>
      </c>
      <c r="AW61" s="29" t="str">
        <f>IFERROR(HLOOKUP($D61,[10]●!$D$1:$AH$10,6,FALSE),"")</f>
        <v>阪井田</v>
      </c>
      <c r="AX61" s="29" t="str">
        <f>IFERROR(HLOOKUP($D61,[10]●!$D$1:$AH$10,7,FALSE),"")</f>
        <v/>
      </c>
      <c r="AY61" s="29" t="str">
        <f>IFERROR(HLOOKUP($D61,[10]●!$D$1:$AH$10,8,FALSE),"")</f>
        <v/>
      </c>
    </row>
    <row r="62" spans="1:51" ht="13.9" customHeight="1" x14ac:dyDescent="0.15">
      <c r="A62" s="10">
        <v>2020</v>
      </c>
      <c r="B62" s="10">
        <v>8</v>
      </c>
      <c r="C62" s="67">
        <f t="shared" si="4"/>
        <v>44044</v>
      </c>
      <c r="D62" s="38">
        <f t="shared" ref="D62" si="28">IF(WEEKDAY(DATE(A62,B62,1))&gt;3,(7-(WEEKDAY(DATE(A62,B62,1))-3))+DATE(A62,B62,1),3-WEEKDAY(DATE(A62,B62,1))+DATE(A62,B62,1))+14</f>
        <v>44061</v>
      </c>
      <c r="E62" s="37">
        <f t="shared" si="10"/>
        <v>44061</v>
      </c>
      <c r="F62" s="14" t="str">
        <f t="shared" si="15"/>
        <v>清水　正生</v>
      </c>
      <c r="H62" s="72"/>
      <c r="I62" s="81"/>
      <c r="J62" s="81"/>
      <c r="K62" s="81"/>
      <c r="L62" s="81"/>
      <c r="M62" s="81"/>
      <c r="N62" s="81"/>
      <c r="O62" s="115"/>
      <c r="P62" s="115"/>
      <c r="Q62" s="115"/>
      <c r="R62" s="115"/>
      <c r="S62" s="81"/>
      <c r="T62" s="81"/>
      <c r="U62" s="81"/>
      <c r="V62" s="81"/>
      <c r="W62" s="81"/>
      <c r="X62" s="115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9">
        <v>1</v>
      </c>
      <c r="AK62" s="89"/>
      <c r="AL62" s="89"/>
      <c r="AM62" s="62"/>
      <c r="AN62" s="41"/>
      <c r="AR62" s="22" t="str">
        <f>IFERROR(HLOOKUP(D62,[10]明!$D$1:$AH$4,3,FALSE),"")</f>
        <v>大橋</v>
      </c>
      <c r="AS62" s="23" t="str">
        <f>IFERROR(HLOOKUP(E62,[10]明!$D$1:$AH$4,4,FALSE),"")</f>
        <v>南</v>
      </c>
      <c r="AT62" s="29" t="str">
        <f>IFERROR(HLOOKUP($D62,[10]●!$D$1:$AH$10,3,FALSE),"")</f>
        <v>龍野</v>
      </c>
      <c r="AU62" s="29" t="str">
        <f>IFERROR(HLOOKUP($D62,[10]●!$D$1:$AH$10,4,FALSE),"")</f>
        <v>大畑</v>
      </c>
      <c r="AV62" s="29" t="str">
        <f>IFERROR(HLOOKUP($D62,[10]●!$D$1:$AH$10,5,FALSE),"")</f>
        <v>谷口</v>
      </c>
      <c r="AW62" s="29" t="str">
        <f>IFERROR(HLOOKUP($D62,[10]●!$D$1:$AH$10,6,FALSE),"")</f>
        <v>諸田</v>
      </c>
      <c r="AX62" s="29" t="str">
        <f>IFERROR(HLOOKUP($D62,[10]●!$D$1:$AH$10,7,FALSE),"")</f>
        <v/>
      </c>
      <c r="AY62" s="29" t="str">
        <f>IFERROR(HLOOKUP($D62,[10]●!$D$1:$AH$10,8,FALSE),"")</f>
        <v/>
      </c>
    </row>
    <row r="63" spans="1:51" ht="13.9" customHeight="1" x14ac:dyDescent="0.15">
      <c r="A63" s="10">
        <v>2020</v>
      </c>
      <c r="B63" s="10">
        <v>8</v>
      </c>
      <c r="C63" s="67">
        <f t="shared" si="4"/>
        <v>44044</v>
      </c>
      <c r="D63" s="36">
        <f t="shared" ref="D63" si="29">IF(WEEKDAY((DATE(A61,B61,1)))&gt;4,(7-(WEEKDAY((DATE(A61,B61,1)))-4))+(DATE(A61,B61,1)),4-WEEKDAY((DATE(A61,B61,1)))+(DATE(A61,B61,1)))+21</f>
        <v>44069</v>
      </c>
      <c r="E63" s="37">
        <f t="shared" si="10"/>
        <v>44069</v>
      </c>
      <c r="F63" s="14" t="str">
        <f t="shared" si="15"/>
        <v>長田 弘二</v>
      </c>
      <c r="H63" s="72"/>
      <c r="I63" s="81"/>
      <c r="J63" s="81"/>
      <c r="K63" s="81"/>
      <c r="L63" s="81"/>
      <c r="M63" s="81"/>
      <c r="N63" s="81"/>
      <c r="O63" s="115"/>
      <c r="P63" s="115"/>
      <c r="Q63" s="115"/>
      <c r="R63" s="115"/>
      <c r="S63" s="81"/>
      <c r="T63" s="81"/>
      <c r="U63" s="81"/>
      <c r="V63" s="81">
        <v>1</v>
      </c>
      <c r="W63" s="81"/>
      <c r="X63" s="115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9"/>
      <c r="AK63" s="89"/>
      <c r="AL63" s="89"/>
      <c r="AM63" s="62"/>
      <c r="AN63" s="41"/>
      <c r="AR63" s="22" t="str">
        <f>IFERROR(HLOOKUP(D63,[10]明!$D$1:$AH$4,3,FALSE),"")</f>
        <v>山村</v>
      </c>
      <c r="AS63" s="23" t="str">
        <f>IFERROR(HLOOKUP(E63,[10]明!$D$1:$AH$4,4,FALSE),"")</f>
        <v>長田</v>
      </c>
      <c r="AT63" s="29" t="str">
        <f>IFERROR(HLOOKUP($D63,[10]●!$D$1:$AH$10,3,FALSE),"")</f>
        <v>中村</v>
      </c>
      <c r="AU63" s="29" t="str">
        <f>IFERROR(HLOOKUP($D63,[10]●!$D$1:$AH$10,4,FALSE),"")</f>
        <v>薬司</v>
      </c>
      <c r="AV63" s="29" t="str">
        <f>IFERROR(HLOOKUP($D63,[10]●!$D$1:$AH$10,5,FALSE),"")</f>
        <v>谷口</v>
      </c>
      <c r="AW63" s="29" t="str">
        <f>IFERROR(HLOOKUP($D63,[10]●!$D$1:$AH$10,6,FALSE),"")</f>
        <v>阪井田</v>
      </c>
      <c r="AX63" s="29" t="str">
        <f>IFERROR(HLOOKUP($D63,[10]●!$D$1:$AH$10,7,FALSE),"")</f>
        <v/>
      </c>
      <c r="AY63" s="29" t="str">
        <f>IFERROR(HLOOKUP($D63,[10]●!$D$1:$AH$10,8,FALSE),"")</f>
        <v/>
      </c>
    </row>
    <row r="64" spans="1:51" ht="13.9" customHeight="1" x14ac:dyDescent="0.15">
      <c r="A64" s="10">
        <v>2020</v>
      </c>
      <c r="B64" s="10">
        <v>9</v>
      </c>
      <c r="C64" s="67">
        <f t="shared" si="4"/>
        <v>44075</v>
      </c>
      <c r="D64" s="36">
        <f t="shared" ref="D64" si="30">IF(WEEKDAY((DATE(A64,B64,1)))&gt;4,(7-(WEEKDAY((DATE(A64,B64,1)))-4))+(DATE(A64,B64,1)),4-WEEKDAY((DATE(A64,B64,1)))+(DATE(A64,B64,1)))+7</f>
        <v>44083</v>
      </c>
      <c r="E64" s="37">
        <f t="shared" si="10"/>
        <v>44083</v>
      </c>
      <c r="F64" s="14" t="str">
        <f t="shared" si="15"/>
        <v>薬司 康平</v>
      </c>
      <c r="H64" s="72"/>
      <c r="I64" s="81"/>
      <c r="J64" s="81"/>
      <c r="K64" s="81"/>
      <c r="L64" s="81"/>
      <c r="M64" s="81"/>
      <c r="N64" s="81"/>
      <c r="O64" s="115"/>
      <c r="P64" s="115"/>
      <c r="Q64" s="115"/>
      <c r="R64" s="115"/>
      <c r="S64" s="81"/>
      <c r="T64" s="81"/>
      <c r="U64" s="81"/>
      <c r="V64" s="81"/>
      <c r="W64" s="81"/>
      <c r="X64" s="115"/>
      <c r="Y64" s="81"/>
      <c r="Z64" s="81"/>
      <c r="AA64" s="81"/>
      <c r="AB64" s="81"/>
      <c r="AC64" s="81"/>
      <c r="AD64" s="81"/>
      <c r="AE64" s="81"/>
      <c r="AF64" s="81"/>
      <c r="AG64" s="81">
        <v>1</v>
      </c>
      <c r="AH64" s="81"/>
      <c r="AI64" s="81"/>
      <c r="AJ64" s="89"/>
      <c r="AK64" s="89"/>
      <c r="AL64" s="89"/>
      <c r="AM64" s="62"/>
      <c r="AN64" s="41"/>
      <c r="AR64" s="22" t="str">
        <f>IFERROR(HLOOKUP(D64,[11]明!$D$1:$AH$4,3,FALSE),"")</f>
        <v>佐藤恵</v>
      </c>
      <c r="AS64" s="23" t="str">
        <f>IFERROR(HLOOKUP(E64,[11]明!$D$1:$AH$4,4,FALSE),"")</f>
        <v>薬司</v>
      </c>
      <c r="AT64" s="29" t="str">
        <f>IFERROR(HLOOKUP($D64,[11]●!$D$1:$AH$10,3,FALSE),"")</f>
        <v>大橋</v>
      </c>
      <c r="AU64" s="29" t="str">
        <f>IFERROR(HLOOKUP($D64,[11]●!$D$1:$AH$10,4,FALSE),"")</f>
        <v>谷口</v>
      </c>
      <c r="AV64" s="29" t="str">
        <f>IFERROR(HLOOKUP($D64,[11]●!$D$1:$AH$10,5,FALSE),"")</f>
        <v>阪井田</v>
      </c>
      <c r="AW64" s="29" t="str">
        <f>IFERROR(HLOOKUP($D64,[11]●!$D$1:$AH$10,6,FALSE),"")</f>
        <v/>
      </c>
      <c r="AX64" s="29" t="str">
        <f>IFERROR(HLOOKUP($D64,[11]●!$D$1:$AH$10,7,FALSE),"")</f>
        <v/>
      </c>
      <c r="AY64" s="29" t="str">
        <f>IFERROR(HLOOKUP($D64,[11]●!$D$1:$AH$10,8,FALSE),"")</f>
        <v/>
      </c>
    </row>
    <row r="65" spans="1:51" ht="13.9" customHeight="1" x14ac:dyDescent="0.15">
      <c r="A65" s="10">
        <v>2020</v>
      </c>
      <c r="B65" s="10">
        <v>9</v>
      </c>
      <c r="C65" s="67">
        <f t="shared" si="4"/>
        <v>44075</v>
      </c>
      <c r="D65" s="38">
        <f t="shared" ref="D65" si="31">IF(WEEKDAY(DATE(A65,B65,1))&gt;3,(7-(WEEKDAY(DATE(A65,B65,1))-3))+DATE(A65,B65,1),3-WEEKDAY(DATE(A65,B65,1))+DATE(A65,B65,1))+14</f>
        <v>44089</v>
      </c>
      <c r="E65" s="37">
        <f t="shared" si="10"/>
        <v>44089</v>
      </c>
      <c r="F65" s="14" t="str">
        <f t="shared" si="15"/>
        <v/>
      </c>
      <c r="H65" s="72"/>
      <c r="I65" s="81"/>
      <c r="J65" s="81"/>
      <c r="K65" s="81"/>
      <c r="L65" s="81"/>
      <c r="M65" s="81"/>
      <c r="N65" s="81"/>
      <c r="O65" s="115"/>
      <c r="P65" s="115"/>
      <c r="Q65" s="115"/>
      <c r="R65" s="115"/>
      <c r="S65" s="81"/>
      <c r="T65" s="81"/>
      <c r="U65" s="81"/>
      <c r="V65" s="81"/>
      <c r="W65" s="81"/>
      <c r="X65" s="115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9"/>
      <c r="AK65" s="89"/>
      <c r="AL65" s="89"/>
      <c r="AM65" s="62"/>
      <c r="AN65" s="41"/>
      <c r="AR65" s="22" t="str">
        <f>IFERROR(HLOOKUP(D65,[11]明!$D$1:$AH$4,3,FALSE),"")</f>
        <v>中井</v>
      </c>
      <c r="AS65" s="23" t="str">
        <f>IFERROR(HLOOKUP(E65,[11]明!$D$1:$AH$4,4,FALSE),"")</f>
        <v>松木</v>
      </c>
      <c r="AT65" s="29" t="str">
        <f>IFERROR(HLOOKUP($D65,[11]●!$D$1:$AH$10,3,FALSE),"")</f>
        <v>山村</v>
      </c>
      <c r="AU65" s="29" t="str">
        <f>IFERROR(HLOOKUP($D65,[11]●!$D$1:$AH$10,4,FALSE),"")</f>
        <v>清水</v>
      </c>
      <c r="AV65" s="29" t="str">
        <f>IFERROR(HLOOKUP($D65,[11]●!$D$1:$AH$10,5,FALSE),"")</f>
        <v>龍野</v>
      </c>
      <c r="AW65" s="29" t="str">
        <f>IFERROR(HLOOKUP($D65,[11]●!$D$1:$AH$10,6,FALSE),"")</f>
        <v>大畑</v>
      </c>
      <c r="AX65" s="29" t="str">
        <f>IFERROR(HLOOKUP($D65,[11]●!$D$1:$AH$10,7,FALSE),"")</f>
        <v>谷口</v>
      </c>
      <c r="AY65" s="29" t="str">
        <f>IFERROR(HLOOKUP($D65,[11]●!$D$1:$AH$10,8,FALSE),"")</f>
        <v/>
      </c>
    </row>
    <row r="66" spans="1:51" ht="13.9" customHeight="1" x14ac:dyDescent="0.15">
      <c r="A66" s="10">
        <v>2020</v>
      </c>
      <c r="B66" s="10">
        <v>9</v>
      </c>
      <c r="C66" s="67">
        <f t="shared" si="4"/>
        <v>44075</v>
      </c>
      <c r="D66" s="36">
        <f t="shared" ref="D66" si="32">IF(WEEKDAY((DATE(A64,B64,1)))&gt;4,(7-(WEEKDAY((DATE(A64,B64,1)))-4))+(DATE(A64,B64,1)),4-WEEKDAY((DATE(A64,B64,1)))+(DATE(A64,B64,1)))+21</f>
        <v>44097</v>
      </c>
      <c r="E66" s="37">
        <f t="shared" si="10"/>
        <v>44097</v>
      </c>
      <c r="F66" s="14" t="str">
        <f t="shared" si="15"/>
        <v>小竹　祐太朗　</v>
      </c>
      <c r="H66" s="72"/>
      <c r="I66" s="81"/>
      <c r="J66" s="81"/>
      <c r="K66" s="81"/>
      <c r="L66" s="81"/>
      <c r="M66" s="81">
        <v>1</v>
      </c>
      <c r="N66" s="81"/>
      <c r="O66" s="115"/>
      <c r="P66" s="115"/>
      <c r="Q66" s="115"/>
      <c r="R66" s="115"/>
      <c r="S66" s="81"/>
      <c r="T66" s="81"/>
      <c r="U66" s="81"/>
      <c r="V66" s="81"/>
      <c r="W66" s="81"/>
      <c r="X66" s="115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9"/>
      <c r="AK66" s="89"/>
      <c r="AL66" s="89"/>
      <c r="AM66" s="62"/>
      <c r="AN66" s="41"/>
      <c r="AR66" s="22" t="str">
        <f>IFERROR(HLOOKUP(D66,[11]明!$D$1:$AH$4,3,FALSE),"")</f>
        <v>山下</v>
      </c>
      <c r="AS66" s="23" t="str">
        <f>IFERROR(HLOOKUP(E66,[11]明!$D$1:$AH$4,4,FALSE),"")</f>
        <v>加藤</v>
      </c>
      <c r="AT66" s="29" t="str">
        <f>IFERROR(HLOOKUP($D66,[11]●!$D$1:$AH$10,3,FALSE),"")</f>
        <v>齊藤</v>
      </c>
      <c r="AU66" s="29" t="str">
        <f>IFERROR(HLOOKUP($D66,[11]●!$D$1:$AH$10,4,FALSE),"")</f>
        <v>庵</v>
      </c>
      <c r="AV66" s="29" t="str">
        <f>IFERROR(HLOOKUP($D66,[11]●!$D$1:$AH$10,5,FALSE),"")</f>
        <v>大畑</v>
      </c>
      <c r="AW66" s="29" t="str">
        <f>IFERROR(HLOOKUP($D66,[11]●!$D$1:$AH$10,6,FALSE),"")</f>
        <v>谷口</v>
      </c>
      <c r="AX66" s="29" t="str">
        <f>IFERROR(HLOOKUP($D66,[11]●!$D$1:$AH$10,7,FALSE),"")</f>
        <v>阪井田</v>
      </c>
      <c r="AY66" s="29" t="str">
        <f>IFERROR(HLOOKUP($D66,[11]●!$D$1:$AH$10,8,FALSE),"")</f>
        <v/>
      </c>
    </row>
    <row r="67" spans="1:51" ht="13.9" customHeight="1" x14ac:dyDescent="0.15">
      <c r="A67" s="10">
        <v>2020</v>
      </c>
      <c r="B67" s="10">
        <v>10</v>
      </c>
      <c r="C67" s="67">
        <f t="shared" si="4"/>
        <v>44105</v>
      </c>
      <c r="D67" s="36">
        <f t="shared" ref="D67" si="33">IF(WEEKDAY((DATE(A67,B67,1)))&gt;4,(7-(WEEKDAY((DATE(A67,B67,1)))-4))+(DATE(A67,B67,1)),4-WEEKDAY((DATE(A67,B67,1)))+(DATE(A67,B67,1)))+7</f>
        <v>44118</v>
      </c>
      <c r="E67" s="37">
        <f t="shared" si="10"/>
        <v>44118</v>
      </c>
      <c r="F67" s="14" t="str">
        <f t="shared" si="15"/>
        <v>別所　貴仁</v>
      </c>
      <c r="H67" s="72"/>
      <c r="I67" s="81"/>
      <c r="J67" s="81"/>
      <c r="K67" s="81"/>
      <c r="L67" s="81"/>
      <c r="M67" s="81"/>
      <c r="N67" s="81">
        <v>1</v>
      </c>
      <c r="O67" s="115"/>
      <c r="P67" s="115"/>
      <c r="Q67" s="115"/>
      <c r="R67" s="115"/>
      <c r="S67" s="81"/>
      <c r="T67" s="81"/>
      <c r="U67" s="81"/>
      <c r="V67" s="81"/>
      <c r="W67" s="81"/>
      <c r="X67" s="115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9"/>
      <c r="AK67" s="89"/>
      <c r="AL67" s="89"/>
      <c r="AM67" s="62"/>
      <c r="AN67" s="41"/>
      <c r="AR67" s="22" t="str">
        <f>IFERROR(HLOOKUP(D67,[12]明!$D$1:$AH$4,3,FALSE),"")</f>
        <v>山村</v>
      </c>
      <c r="AS67" s="23" t="str">
        <f>IFERROR(HLOOKUP(E67,[12]明!$D$1:$AH$4,4,FALSE),"")</f>
        <v>南</v>
      </c>
      <c r="AT67" s="29" t="str">
        <f>IFERROR(HLOOKUP($D67,[12]●!$D$1:$AH$10,3,FALSE),"")</f>
        <v>清水</v>
      </c>
      <c r="AU67" s="29" t="str">
        <f>IFERROR(HLOOKUP($D67,[12]●!$D$1:$AH$10,4,FALSE),"")</f>
        <v>佐藤穂</v>
      </c>
      <c r="AV67" s="29" t="str">
        <f>IFERROR(HLOOKUP($D67,[12]●!$D$1:$AH$10,5,FALSE),"")</f>
        <v>谷口</v>
      </c>
      <c r="AW67" s="29" t="str">
        <f>IFERROR(HLOOKUP($D67,[12]●!$D$1:$AH$10,6,FALSE),"")</f>
        <v>阪井田</v>
      </c>
      <c r="AX67" s="29" t="str">
        <f>IFERROR(HLOOKUP($D67,[12]●!$D$1:$AH$10,7,FALSE),"")</f>
        <v/>
      </c>
      <c r="AY67" s="29" t="str">
        <f>IFERROR(HLOOKUP($D67,[12]●!$D$1:$AH$10,8,FALSE),"")</f>
        <v/>
      </c>
    </row>
    <row r="68" spans="1:51" ht="13.9" customHeight="1" x14ac:dyDescent="0.15">
      <c r="A68" s="10">
        <v>2020</v>
      </c>
      <c r="B68" s="10">
        <v>10</v>
      </c>
      <c r="C68" s="67">
        <f t="shared" si="4"/>
        <v>44105</v>
      </c>
      <c r="D68" s="38">
        <f t="shared" ref="D68" si="34">IF(WEEKDAY(DATE(A68,B68,1))&gt;3,(7-(WEEKDAY(DATE(A68,B68,1))-3))+DATE(A68,B68,1),3-WEEKDAY(DATE(A68,B68,1))+DATE(A68,B68,1))+14</f>
        <v>44124</v>
      </c>
      <c r="E68" s="37">
        <f t="shared" si="10"/>
        <v>44124</v>
      </c>
      <c r="F68" s="14" t="str">
        <f t="shared" si="15"/>
        <v>田村 能之</v>
      </c>
      <c r="H68" s="72"/>
      <c r="I68" s="81"/>
      <c r="J68" s="81"/>
      <c r="K68" s="81"/>
      <c r="L68" s="81"/>
      <c r="M68" s="81"/>
      <c r="N68" s="81"/>
      <c r="O68" s="115"/>
      <c r="P68" s="115"/>
      <c r="Q68" s="115"/>
      <c r="R68" s="115"/>
      <c r="S68" s="81"/>
      <c r="T68" s="81"/>
      <c r="U68" s="81"/>
      <c r="V68" s="81"/>
      <c r="W68" s="81"/>
      <c r="X68" s="115"/>
      <c r="Y68" s="81"/>
      <c r="Z68" s="81"/>
      <c r="AA68" s="81">
        <v>1</v>
      </c>
      <c r="AB68" s="81"/>
      <c r="AC68" s="81"/>
      <c r="AD68" s="81"/>
      <c r="AE68" s="81"/>
      <c r="AF68" s="81"/>
      <c r="AG68" s="81"/>
      <c r="AH68" s="81"/>
      <c r="AI68" s="81"/>
      <c r="AJ68" s="89"/>
      <c r="AK68" s="89"/>
      <c r="AL68" s="89"/>
      <c r="AM68" s="62"/>
      <c r="AN68" s="41"/>
      <c r="AR68" s="22" t="str">
        <f>IFERROR(HLOOKUP(D68,[12]明!$D$1:$AH$4,3,FALSE),"")</f>
        <v>中井</v>
      </c>
      <c r="AS68" s="23" t="str">
        <f>IFERROR(HLOOKUP(E68,[12]明!$D$1:$AH$4,4,FALSE),"")</f>
        <v>中村</v>
      </c>
      <c r="AT68" s="29" t="str">
        <f>IFERROR(HLOOKUP($D68,[12]●!$D$1:$AH$10,3,FALSE),"")</f>
        <v>田村</v>
      </c>
      <c r="AU68" s="29" t="str">
        <f>IFERROR(HLOOKUP($D68,[12]●!$D$1:$AH$10,4,FALSE),"")</f>
        <v>庵</v>
      </c>
      <c r="AV68" s="29" t="str">
        <f>IFERROR(HLOOKUP($D68,[12]●!$D$1:$AH$10,5,FALSE),"")</f>
        <v>佐藤穂</v>
      </c>
      <c r="AW68" s="29" t="str">
        <f>IFERROR(HLOOKUP($D68,[12]●!$D$1:$AH$10,6,FALSE),"")</f>
        <v>大畑</v>
      </c>
      <c r="AX68" s="29" t="str">
        <f>IFERROR(HLOOKUP($D68,[12]●!$D$1:$AH$10,7,FALSE),"")</f>
        <v>谷口</v>
      </c>
      <c r="AY68" s="29" t="str">
        <f>IFERROR(HLOOKUP($D68,[12]●!$D$1:$AH$10,8,FALSE),"")</f>
        <v/>
      </c>
    </row>
    <row r="69" spans="1:51" ht="13.9" customHeight="1" x14ac:dyDescent="0.15">
      <c r="A69" s="10">
        <v>2020</v>
      </c>
      <c r="B69" s="10">
        <v>10</v>
      </c>
      <c r="C69" s="67">
        <f t="shared" ref="C69:C82" si="35">DATE(A69,B69,1)</f>
        <v>44105</v>
      </c>
      <c r="D69" s="36">
        <f t="shared" ref="D69" si="36">IF(WEEKDAY((DATE(A67,B67,1)))&gt;4,(7-(WEEKDAY((DATE(A67,B67,1)))-4))+(DATE(A67,B67,1)),4-WEEKDAY((DATE(A67,B67,1)))+(DATE(A67,B67,1)))+21</f>
        <v>44132</v>
      </c>
      <c r="E69" s="37">
        <f t="shared" si="10"/>
        <v>44132</v>
      </c>
      <c r="F69" s="14" t="str">
        <f t="shared" si="15"/>
        <v>南 博之</v>
      </c>
      <c r="H69" s="72"/>
      <c r="I69" s="81"/>
      <c r="J69" s="81"/>
      <c r="K69" s="81"/>
      <c r="L69" s="81"/>
      <c r="M69" s="81"/>
      <c r="N69" s="81"/>
      <c r="O69" s="115"/>
      <c r="P69" s="115"/>
      <c r="Q69" s="115">
        <v>1</v>
      </c>
      <c r="R69" s="115"/>
      <c r="S69" s="81"/>
      <c r="T69" s="81"/>
      <c r="U69" s="81"/>
      <c r="V69" s="81"/>
      <c r="W69" s="81"/>
      <c r="X69" s="115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9"/>
      <c r="AK69" s="89"/>
      <c r="AL69" s="89"/>
      <c r="AM69" s="62"/>
      <c r="AN69" s="41"/>
      <c r="AR69" s="22" t="str">
        <f>IFERROR(HLOOKUP(D69,[12]明!$D$1:$AH$4,3,FALSE),"")</f>
        <v>田村</v>
      </c>
      <c r="AS69" s="23" t="str">
        <f>IFERROR(HLOOKUP(E69,[12]明!$D$1:$AH$4,4,FALSE),"")</f>
        <v>薬司</v>
      </c>
      <c r="AT69" s="29" t="str">
        <f>IFERROR(HLOOKUP($D69,[12]●!$D$1:$AH$10,3,FALSE),"")</f>
        <v>南</v>
      </c>
      <c r="AU69" s="29" t="str">
        <f>IFERROR(HLOOKUP($D69,[12]●!$D$1:$AH$10,4,FALSE),"")</f>
        <v>大畑</v>
      </c>
      <c r="AV69" s="29" t="str">
        <f>IFERROR(HLOOKUP($D69,[12]●!$D$1:$AH$10,5,FALSE),"")</f>
        <v>谷口</v>
      </c>
      <c r="AW69" s="29" t="str">
        <f>IFERROR(HLOOKUP($D69,[12]●!$D$1:$AH$10,6,FALSE),"")</f>
        <v>阪井田</v>
      </c>
      <c r="AX69" s="29" t="str">
        <f>IFERROR(HLOOKUP($D69,[12]●!$D$1:$AH$10,7,FALSE),"")</f>
        <v/>
      </c>
      <c r="AY69" s="29" t="str">
        <f>IFERROR(HLOOKUP($D69,[12]●!$D$1:$AH$10,8,FALSE),"")</f>
        <v/>
      </c>
    </row>
    <row r="70" spans="1:51" ht="13.9" customHeight="1" x14ac:dyDescent="0.15">
      <c r="A70" s="10">
        <v>2020</v>
      </c>
      <c r="B70" s="10">
        <v>11</v>
      </c>
      <c r="C70" s="67">
        <f t="shared" si="35"/>
        <v>44136</v>
      </c>
      <c r="D70" s="36">
        <f t="shared" ref="D70" si="37">IF(WEEKDAY((DATE(A70,B70,1)))&gt;4,(7-(WEEKDAY((DATE(A70,B70,1)))-4))+(DATE(A70,B70,1)),4-WEEKDAY((DATE(A70,B70,1)))+(DATE(A70,B70,1)))+7</f>
        <v>44146</v>
      </c>
      <c r="E70" s="37">
        <f t="shared" si="10"/>
        <v>44146</v>
      </c>
      <c r="F70" s="14" t="str">
        <f t="shared" si="15"/>
        <v>平田 恵哉</v>
      </c>
      <c r="H70" s="72"/>
      <c r="I70" s="81"/>
      <c r="J70" s="81"/>
      <c r="K70" s="81"/>
      <c r="L70" s="81"/>
      <c r="M70" s="81"/>
      <c r="N70" s="81"/>
      <c r="O70" s="115"/>
      <c r="P70" s="115"/>
      <c r="Q70" s="115"/>
      <c r="R70" s="115"/>
      <c r="S70" s="81"/>
      <c r="T70" s="81"/>
      <c r="U70" s="81">
        <v>1</v>
      </c>
      <c r="V70" s="81"/>
      <c r="W70" s="81"/>
      <c r="X70" s="115"/>
      <c r="Y70" s="81"/>
      <c r="Z70" s="81"/>
      <c r="AA70" s="81"/>
      <c r="AB70" s="81"/>
      <c r="AC70" s="81"/>
      <c r="AD70" s="81"/>
      <c r="AE70" s="81"/>
      <c r="AF70" s="81"/>
      <c r="AG70" s="81"/>
      <c r="AH70" s="81"/>
      <c r="AI70" s="81"/>
      <c r="AJ70" s="89"/>
      <c r="AK70" s="89"/>
      <c r="AL70" s="89"/>
      <c r="AM70" s="62"/>
      <c r="AN70" s="41"/>
      <c r="AR70" s="22" t="str">
        <f>IFERROR(HLOOKUP(D70,[13]明!$D$1:$AH$4,3,FALSE),"")</f>
        <v>平田恵</v>
      </c>
      <c r="AS70" s="23" t="str">
        <f>IFERROR(HLOOKUP(E70,[13]明!$D$1:$AH$4,4,FALSE),"")</f>
        <v>庵</v>
      </c>
      <c r="AT70" s="29" t="str">
        <f>IFERROR(HLOOKUP($D70,[13]●!$D$1:$AH$10,3,FALSE),"")</f>
        <v>南</v>
      </c>
      <c r="AU70" s="29" t="str">
        <f>IFERROR(HLOOKUP($D70,[13]●!$D$1:$AH$10,4,FALSE),"")</f>
        <v>澤野</v>
      </c>
      <c r="AV70" s="29" t="str">
        <f>IFERROR(HLOOKUP($D70,[13]●!$D$1:$AH$10,5,FALSE),"")</f>
        <v>谷口</v>
      </c>
      <c r="AW70" s="29" t="str">
        <f>IFERROR(HLOOKUP($D70,[13]●!$D$1:$AH$10,6,FALSE),"")</f>
        <v>阪井田</v>
      </c>
      <c r="AX70" s="29" t="str">
        <f>IFERROR(HLOOKUP($D70,[13]●!$D$1:$AH$10,7,FALSE),"")</f>
        <v/>
      </c>
      <c r="AY70" s="29" t="str">
        <f>IFERROR(HLOOKUP($D70,[13]●!$D$1:$AH$10,8,FALSE),"")</f>
        <v/>
      </c>
    </row>
    <row r="71" spans="1:51" ht="13.9" customHeight="1" x14ac:dyDescent="0.15">
      <c r="A71" s="10">
        <v>2020</v>
      </c>
      <c r="B71" s="10">
        <v>11</v>
      </c>
      <c r="C71" s="67">
        <f t="shared" si="35"/>
        <v>44136</v>
      </c>
      <c r="D71" s="38">
        <f t="shared" ref="D71" si="38">IF(WEEKDAY(DATE(A71,B71,1))&gt;3,(7-(WEEKDAY(DATE(A71,B71,1))-3))+DATE(A71,B71,1),3-WEEKDAY(DATE(A71,B71,1))+DATE(A71,B71,1))+14</f>
        <v>44152</v>
      </c>
      <c r="E71" s="37">
        <f t="shared" si="10"/>
        <v>44152</v>
      </c>
      <c r="F71" s="14" t="str">
        <f t="shared" si="15"/>
        <v>齊藤 久紘</v>
      </c>
      <c r="H71" s="72"/>
      <c r="I71" s="81"/>
      <c r="J71" s="81"/>
      <c r="K71" s="81"/>
      <c r="L71" s="81"/>
      <c r="M71" s="81"/>
      <c r="N71" s="81"/>
      <c r="O71" s="115"/>
      <c r="P71" s="115"/>
      <c r="Q71" s="115"/>
      <c r="R71" s="115"/>
      <c r="S71" s="81"/>
      <c r="T71" s="81"/>
      <c r="U71" s="81"/>
      <c r="V71" s="81"/>
      <c r="W71" s="81"/>
      <c r="X71" s="115"/>
      <c r="Y71" s="81"/>
      <c r="Z71" s="81"/>
      <c r="AA71" s="81"/>
      <c r="AB71" s="81">
        <v>1</v>
      </c>
      <c r="AC71" s="81"/>
      <c r="AD71" s="81"/>
      <c r="AE71" s="81"/>
      <c r="AF71" s="81"/>
      <c r="AG71" s="81"/>
      <c r="AH71" s="81"/>
      <c r="AI71" s="81"/>
      <c r="AJ71" s="89"/>
      <c r="AK71" s="89"/>
      <c r="AL71" s="89"/>
      <c r="AM71" s="62"/>
      <c r="AN71" s="41"/>
      <c r="AR71" s="22" t="str">
        <f>IFERROR(HLOOKUP(D71,[13]明!$D$1:$AH$4,3,FALSE),"")</f>
        <v>田村</v>
      </c>
      <c r="AS71" s="23" t="str">
        <f>IFERROR(HLOOKUP(E71,[13]明!$D$1:$AH$4,4,FALSE),"")</f>
        <v>齊藤</v>
      </c>
      <c r="AT71" s="29" t="str">
        <f>IFERROR(HLOOKUP($D71,[13]●!$D$1:$AH$10,3,FALSE),"")</f>
        <v>大畑</v>
      </c>
      <c r="AU71" s="29" t="str">
        <f>IFERROR(HLOOKUP($D71,[13]●!$D$1:$AH$10,4,FALSE),"")</f>
        <v>谷口</v>
      </c>
      <c r="AV71" s="29" t="str">
        <f>IFERROR(HLOOKUP($D71,[13]●!$D$1:$AH$10,5,FALSE),"")</f>
        <v>阪井田</v>
      </c>
      <c r="AW71" s="29" t="str">
        <f>IFERROR(HLOOKUP($D71,[13]●!$D$1:$AH$10,6,FALSE),"")</f>
        <v>松木</v>
      </c>
      <c r="AX71" s="29" t="str">
        <f>IFERROR(HLOOKUP($D71,[13]●!$D$1:$AH$10,7,FALSE),"")</f>
        <v/>
      </c>
      <c r="AY71" s="29" t="str">
        <f>IFERROR(HLOOKUP($D71,[13]●!$D$1:$AH$10,8,FALSE),"")</f>
        <v/>
      </c>
    </row>
    <row r="72" spans="1:51" ht="13.9" customHeight="1" x14ac:dyDescent="0.15">
      <c r="A72" s="10">
        <v>2020</v>
      </c>
      <c r="B72" s="10">
        <v>11</v>
      </c>
      <c r="C72" s="67">
        <f t="shared" si="35"/>
        <v>44136</v>
      </c>
      <c r="D72" s="36">
        <f t="shared" ref="D72" si="39">IF(WEEKDAY((DATE(A70,B70,1)))&gt;4,(7-(WEEKDAY((DATE(A70,B70,1)))-4))+(DATE(A70,B70,1)),4-WEEKDAY((DATE(A70,B70,1)))+(DATE(A70,B70,1)))+21</f>
        <v>44160</v>
      </c>
      <c r="E72" s="37">
        <f t="shared" si="10"/>
        <v>44160</v>
      </c>
      <c r="F72" s="14" t="str">
        <f t="shared" si="15"/>
        <v>西郡　健太</v>
      </c>
      <c r="H72" s="72"/>
      <c r="I72" s="81"/>
      <c r="J72" s="81"/>
      <c r="K72" s="81"/>
      <c r="L72" s="81"/>
      <c r="M72" s="81"/>
      <c r="N72" s="81"/>
      <c r="O72" s="115"/>
      <c r="P72" s="115"/>
      <c r="Q72" s="115"/>
      <c r="R72" s="115"/>
      <c r="S72" s="81"/>
      <c r="T72" s="81"/>
      <c r="U72" s="81"/>
      <c r="V72" s="81"/>
      <c r="W72" s="81"/>
      <c r="X72" s="115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>
        <v>1</v>
      </c>
      <c r="AJ72" s="89"/>
      <c r="AK72" s="89"/>
      <c r="AL72" s="89"/>
      <c r="AM72" s="62"/>
      <c r="AN72" s="41"/>
      <c r="AR72" s="22" t="str">
        <f>IFERROR(HLOOKUP(D72,[13]明!$D$1:$AH$4,3,FALSE),"")</f>
        <v>山田</v>
      </c>
      <c r="AS72" s="23" t="str">
        <f>IFERROR(HLOOKUP(E72,[13]明!$D$1:$AH$4,4,FALSE),"")</f>
        <v>平田恵</v>
      </c>
      <c r="AT72" s="29" t="str">
        <f>IFERROR(HLOOKUP($D72,[13]●!$D$1:$AH$10,3,FALSE),"")</f>
        <v>平田真</v>
      </c>
      <c r="AU72" s="29" t="str">
        <f>IFERROR(HLOOKUP($D72,[13]●!$D$1:$AH$10,4,FALSE),"")</f>
        <v>澤野</v>
      </c>
      <c r="AV72" s="29" t="str">
        <f>IFERROR(HLOOKUP($D72,[13]●!$D$1:$AH$10,5,FALSE),"")</f>
        <v>西郡</v>
      </c>
      <c r="AW72" s="29" t="str">
        <f>IFERROR(HLOOKUP($D72,[13]●!$D$1:$AH$10,6,FALSE),"")</f>
        <v>大畑</v>
      </c>
      <c r="AX72" s="29" t="str">
        <f>IFERROR(HLOOKUP($D72,[13]●!$D$1:$AH$10,7,FALSE),"")</f>
        <v>阪井田</v>
      </c>
      <c r="AY72" s="29" t="str">
        <f>IFERROR(HLOOKUP($D72,[13]●!$D$1:$AH$10,8,FALSE),"")</f>
        <v/>
      </c>
    </row>
    <row r="73" spans="1:51" ht="13.9" customHeight="1" x14ac:dyDescent="0.15">
      <c r="A73" s="10">
        <v>2020</v>
      </c>
      <c r="B73" s="10">
        <v>12</v>
      </c>
      <c r="C73" s="67">
        <f t="shared" si="35"/>
        <v>44166</v>
      </c>
      <c r="D73" s="36">
        <f t="shared" ref="D73" si="40">IF(WEEKDAY((DATE(A73,B73,1)))&gt;4,(7-(WEEKDAY((DATE(A73,B73,1)))-4))+(DATE(A73,B73,1)),4-WEEKDAY((DATE(A73,B73,1)))+(DATE(A73,B73,1)))+7</f>
        <v>44174</v>
      </c>
      <c r="E73" s="37">
        <f t="shared" si="10"/>
        <v>44174</v>
      </c>
      <c r="F73" s="14" t="str">
        <f t="shared" si="15"/>
        <v>山本 浩之</v>
      </c>
      <c r="H73" s="72"/>
      <c r="I73" s="81"/>
      <c r="J73" s="81"/>
      <c r="K73" s="81"/>
      <c r="L73" s="81"/>
      <c r="M73" s="81"/>
      <c r="N73" s="81"/>
      <c r="O73" s="115"/>
      <c r="P73" s="115">
        <v>1</v>
      </c>
      <c r="Q73" s="115"/>
      <c r="R73" s="115"/>
      <c r="S73" s="81"/>
      <c r="T73" s="81"/>
      <c r="U73" s="81"/>
      <c r="V73" s="81"/>
      <c r="W73" s="81"/>
      <c r="X73" s="115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9"/>
      <c r="AK73" s="89"/>
      <c r="AL73" s="89"/>
      <c r="AM73" s="65"/>
      <c r="AN73" s="66"/>
      <c r="AR73" s="22" t="str">
        <f>IFERROR(HLOOKUP(D73,[14]明!$D$1:$AH$4,3,FALSE),"")</f>
        <v>山本</v>
      </c>
      <c r="AS73" s="23" t="str">
        <f>IFERROR(HLOOKUP(E73,[14]明!$D$1:$AH$4,4,FALSE),"")</f>
        <v>澤野</v>
      </c>
      <c r="AT73" s="29" t="str">
        <f>IFERROR(HLOOKUP($D73,[14]●!$D$1:$AH$10,3,FALSE),"")</f>
        <v>庵</v>
      </c>
      <c r="AU73" s="29" t="str">
        <f>IFERROR(HLOOKUP($D73,[14]●!$D$1:$AH$10,4,FALSE),"")</f>
        <v>佐藤恵</v>
      </c>
      <c r="AV73" s="29" t="str">
        <f>IFERROR(HLOOKUP($D73,[14]●!$D$1:$AH$10,5,FALSE),"")</f>
        <v>大畑</v>
      </c>
      <c r="AW73" s="29" t="str">
        <f>IFERROR(HLOOKUP($D73,[14]●!$D$1:$AH$10,6,FALSE),"")</f>
        <v>谷口</v>
      </c>
      <c r="AX73" s="29" t="str">
        <f>IFERROR(HLOOKUP($D73,[14]●!$D$1:$AH$10,7,FALSE),"")</f>
        <v>阪井田</v>
      </c>
      <c r="AY73" s="29" t="str">
        <f>IFERROR(HLOOKUP($D73,[14]●!$D$1:$AH$10,8,FALSE),"")</f>
        <v/>
      </c>
    </row>
    <row r="74" spans="1:51" ht="13.9" customHeight="1" x14ac:dyDescent="0.15">
      <c r="A74" s="10">
        <v>2020</v>
      </c>
      <c r="B74" s="10">
        <v>12</v>
      </c>
      <c r="C74" s="67">
        <f t="shared" si="35"/>
        <v>44166</v>
      </c>
      <c r="D74" s="38">
        <f t="shared" ref="D74" si="41">IF(WEEKDAY(DATE(A74,B74,1))&gt;3,(7-(WEEKDAY(DATE(A74,B74,1))-3))+DATE(A74,B74,1),3-WEEKDAY(DATE(A74,B74,1))+DATE(A74,B74,1))+14</f>
        <v>44180</v>
      </c>
      <c r="E74" s="37">
        <f t="shared" si="10"/>
        <v>44180</v>
      </c>
      <c r="F74" s="14" t="str">
        <f t="shared" si="15"/>
        <v>中川　大誠</v>
      </c>
      <c r="H74" s="72"/>
      <c r="I74" s="81"/>
      <c r="J74" s="81"/>
      <c r="K74" s="81"/>
      <c r="L74" s="81"/>
      <c r="M74" s="81"/>
      <c r="N74" s="81"/>
      <c r="O74" s="115"/>
      <c r="P74" s="115"/>
      <c r="Q74" s="115"/>
      <c r="R74" s="115"/>
      <c r="S74" s="81"/>
      <c r="T74" s="81"/>
      <c r="U74" s="81"/>
      <c r="V74" s="81"/>
      <c r="W74" s="81"/>
      <c r="X74" s="115"/>
      <c r="Y74" s="81"/>
      <c r="Z74" s="81"/>
      <c r="AA74" s="81"/>
      <c r="AB74" s="81"/>
      <c r="AC74" s="81"/>
      <c r="AD74" s="81"/>
      <c r="AE74" s="81"/>
      <c r="AF74" s="81">
        <v>1</v>
      </c>
      <c r="AG74" s="81"/>
      <c r="AH74" s="81"/>
      <c r="AI74" s="81"/>
      <c r="AJ74" s="89"/>
      <c r="AK74" s="89"/>
      <c r="AL74" s="89"/>
      <c r="AM74" s="65"/>
      <c r="AN74" s="66"/>
      <c r="AR74" s="22" t="str">
        <f>IFERROR(HLOOKUP(D74,[14]明!$D$1:$AH$4,3,FALSE),"")</f>
        <v>本田</v>
      </c>
      <c r="AS74" s="23" t="str">
        <f>IFERROR(HLOOKUP(E74,[14]明!$D$1:$AH$4,4,FALSE),"")</f>
        <v>松木</v>
      </c>
      <c r="AT74" s="29" t="str">
        <f>IFERROR(HLOOKUP($D74,[14]●!$D$1:$AH$10,3,FALSE),"")</f>
        <v>清水</v>
      </c>
      <c r="AU74" s="29" t="str">
        <f>IFERROR(HLOOKUP($D74,[14]●!$D$1:$AH$10,4,FALSE),"")</f>
        <v>山田</v>
      </c>
      <c r="AV74" s="29" t="str">
        <f>IFERROR(HLOOKUP($D74,[14]●!$D$1:$AH$10,5,FALSE),"")</f>
        <v>佐藤恵</v>
      </c>
      <c r="AW74" s="29" t="str">
        <f>IFERROR(HLOOKUP($D74,[14]●!$D$1:$AH$10,6,FALSE),"")</f>
        <v>大畑</v>
      </c>
      <c r="AX74" s="29" t="str">
        <f>IFERROR(HLOOKUP($D74,[14]●!$D$1:$AH$10,7,FALSE),"")</f>
        <v>谷口</v>
      </c>
      <c r="AY74" s="29" t="str">
        <f>IFERROR(HLOOKUP($D74,[14]●!$D$1:$AH$10,8,FALSE),"")</f>
        <v>阪井田</v>
      </c>
    </row>
    <row r="75" spans="1:51" ht="13.9" customHeight="1" x14ac:dyDescent="0.15">
      <c r="A75" s="10">
        <v>2020</v>
      </c>
      <c r="B75" s="10">
        <v>12</v>
      </c>
      <c r="C75" s="67">
        <f t="shared" si="35"/>
        <v>44166</v>
      </c>
      <c r="D75" s="36">
        <f t="shared" ref="D75" si="42">IF(WEEKDAY((DATE(A73,B73,1)))&gt;4,(7-(WEEKDAY((DATE(A73,B73,1)))-4))+(DATE(A73,B73,1)),4-WEEKDAY((DATE(A73,B73,1)))+(DATE(A73,B73,1)))+21</f>
        <v>44188</v>
      </c>
      <c r="E75" s="37">
        <f t="shared" si="10"/>
        <v>44188</v>
      </c>
      <c r="F75" s="14" t="str">
        <f t="shared" si="15"/>
        <v>片岡 恵梨子</v>
      </c>
      <c r="H75" s="72"/>
      <c r="I75" s="81"/>
      <c r="J75" s="81"/>
      <c r="K75" s="81"/>
      <c r="L75" s="81"/>
      <c r="M75" s="81"/>
      <c r="N75" s="81"/>
      <c r="O75" s="115"/>
      <c r="P75" s="115"/>
      <c r="Q75" s="115"/>
      <c r="R75" s="115"/>
      <c r="S75" s="81"/>
      <c r="T75" s="81"/>
      <c r="U75" s="81"/>
      <c r="V75" s="81"/>
      <c r="W75" s="81"/>
      <c r="X75" s="115"/>
      <c r="Y75" s="81"/>
      <c r="Z75" s="81"/>
      <c r="AA75" s="81"/>
      <c r="AB75" s="81"/>
      <c r="AC75" s="81">
        <v>1</v>
      </c>
      <c r="AD75" s="81"/>
      <c r="AE75" s="81"/>
      <c r="AF75" s="81"/>
      <c r="AG75" s="81"/>
      <c r="AH75" s="81"/>
      <c r="AI75" s="81"/>
      <c r="AJ75" s="89"/>
      <c r="AK75" s="89"/>
      <c r="AL75" s="89"/>
      <c r="AM75" s="65"/>
      <c r="AN75" s="66"/>
      <c r="AR75" s="22" t="str">
        <f>IFERROR(HLOOKUP(D75,[14]明!$D$1:$AH$4,3,FALSE),"")</f>
        <v>佐藤恵</v>
      </c>
      <c r="AS75" s="23" t="str">
        <f>IFERROR(HLOOKUP(E75,[14]明!$D$1:$AH$4,4,FALSE),"")</f>
        <v>佐藤穂</v>
      </c>
      <c r="AT75" s="29" t="str">
        <f>IFERROR(HLOOKUP($D75,[14]●!$D$1:$AH$10,AT3,FALSE),"")</f>
        <v>山下</v>
      </c>
      <c r="AU75" s="29" t="str">
        <f>IFERROR(HLOOKUP($D75,[14]●!$D$1:$AH$10,4,FALSE),"")</f>
        <v>大橋</v>
      </c>
      <c r="AV75" s="29" t="str">
        <f>IFERROR(HLOOKUP($D75,[14]●!$D$1:$AH$10,5,FALSE),"")</f>
        <v>大畑</v>
      </c>
      <c r="AW75" s="29" t="str">
        <f>IFERROR(HLOOKUP($D75,[14]●!$D$1:$AH$10,6,FALSE),"")</f>
        <v>谷口</v>
      </c>
      <c r="AX75" s="29" t="str">
        <f>IFERROR(HLOOKUP($D75,[14]●!$D$1:$AH$10,7,FALSE),"")</f>
        <v>阪井田</v>
      </c>
      <c r="AY75" s="29" t="str">
        <f>IFERROR(HLOOKUP($D75,[14]●!$D$1:$AH$10,8,FALSE),"")</f>
        <v>諸田</v>
      </c>
    </row>
    <row r="76" spans="1:51" ht="13.9" customHeight="1" x14ac:dyDescent="0.15">
      <c r="A76" s="10">
        <v>2021</v>
      </c>
      <c r="B76" s="10">
        <v>1</v>
      </c>
      <c r="C76" s="67">
        <f t="shared" si="35"/>
        <v>44197</v>
      </c>
      <c r="D76" s="36">
        <f t="shared" ref="D76" si="43">IF(WEEKDAY((DATE(A76,B76,1)))&gt;4,(7-(WEEKDAY((DATE(A76,B76,1)))-4))+(DATE(A76,B76,1)),4-WEEKDAY((DATE(A76,B76,1)))+(DATE(A76,B76,1)))+7</f>
        <v>44209</v>
      </c>
      <c r="E76" s="37">
        <f t="shared" ref="E76:E82" si="44">D76</f>
        <v>44209</v>
      </c>
      <c r="F76" s="14" t="str">
        <f t="shared" ref="F76:F82" si="45">IFERROR(INDEX($H$1:$AN$1,1,MATCH(1,H76:AN76)),"")</f>
        <v>澤野 正樹</v>
      </c>
      <c r="H76" s="72"/>
      <c r="I76" s="81"/>
      <c r="J76" s="81"/>
      <c r="K76" s="81"/>
      <c r="L76" s="81"/>
      <c r="M76" s="81"/>
      <c r="N76" s="81"/>
      <c r="O76" s="115"/>
      <c r="P76" s="115"/>
      <c r="Q76" s="115"/>
      <c r="R76" s="115">
        <v>1</v>
      </c>
      <c r="S76" s="81"/>
      <c r="T76" s="81"/>
      <c r="U76" s="81"/>
      <c r="V76" s="81"/>
      <c r="W76" s="81"/>
      <c r="X76" s="115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9"/>
      <c r="AK76" s="89"/>
      <c r="AL76" s="89"/>
      <c r="AM76" s="65"/>
      <c r="AN76" s="66"/>
      <c r="AR76" s="69" t="str">
        <f>IFERROR(HLOOKUP(D76,[15]明!$D$1:$AH$4,AR$3,FALSE),"")</f>
        <v>澤野</v>
      </c>
      <c r="AS76" s="23" t="str">
        <f>IFERROR(HLOOKUP(E76,[15]明!$D$1:$AH$4,AS$3,FALSE),"")</f>
        <v>田村</v>
      </c>
      <c r="AT76" s="29" t="str">
        <f>IFERROR(HLOOKUP($D76,[15]●!$D$1:$AH$10,AT$3,FALSE),"")</f>
        <v>庵</v>
      </c>
      <c r="AU76" s="29" t="str">
        <f>IFERROR(HLOOKUP($D76,[15]●!$D$1:$AH$10,AU$3,FALSE),"")</f>
        <v>大畑</v>
      </c>
      <c r="AV76" s="29" t="str">
        <f>IFERROR(HLOOKUP($D76,[15]●!$D$1:$AH$10,AV$3,FALSE),"")</f>
        <v>谷口</v>
      </c>
      <c r="AW76" s="29" t="str">
        <f>IFERROR(HLOOKUP($D76,[15]●!$D$1:$AH$10,AW$3,FALSE),"")</f>
        <v>阪井田</v>
      </c>
      <c r="AX76" s="29" t="str">
        <f>IFERROR(HLOOKUP($D76,[15]●!$D$1:$AH$10,AX$3,FALSE),"")</f>
        <v/>
      </c>
      <c r="AY76" s="29" t="str">
        <f>IFERROR(HLOOKUP($D76,[15]●!$D$1:$AH$10,AY$3,FALSE),"")</f>
        <v/>
      </c>
    </row>
    <row r="77" spans="1:51" ht="13.9" customHeight="1" x14ac:dyDescent="0.15">
      <c r="A77" s="10">
        <v>2021</v>
      </c>
      <c r="B77" s="10">
        <v>1</v>
      </c>
      <c r="C77" s="67">
        <f t="shared" si="35"/>
        <v>44197</v>
      </c>
      <c r="D77" s="38">
        <f t="shared" ref="D77" si="46">IF(WEEKDAY(DATE(A77,B77,1))&gt;3,(7-(WEEKDAY(DATE(A77,B77,1))-3))+DATE(A77,B77,1),3-WEEKDAY(DATE(A77,B77,1))+DATE(A77,B77,1))+14</f>
        <v>44215</v>
      </c>
      <c r="E77" s="37">
        <f t="shared" si="44"/>
        <v>44215</v>
      </c>
      <c r="F77" s="14" t="str">
        <f t="shared" si="45"/>
        <v>大橋 効</v>
      </c>
      <c r="H77" s="72"/>
      <c r="I77" s="81"/>
      <c r="J77" s="81"/>
      <c r="K77" s="81"/>
      <c r="L77" s="81"/>
      <c r="M77" s="81"/>
      <c r="N77" s="81"/>
      <c r="O77" s="115">
        <v>1</v>
      </c>
      <c r="P77" s="115"/>
      <c r="Q77" s="115"/>
      <c r="R77" s="115"/>
      <c r="S77" s="81"/>
      <c r="T77" s="81"/>
      <c r="U77" s="81"/>
      <c r="V77" s="81"/>
      <c r="W77" s="81"/>
      <c r="X77" s="115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9"/>
      <c r="AK77" s="89"/>
      <c r="AL77" s="89"/>
      <c r="AM77" s="65"/>
      <c r="AN77" s="66"/>
      <c r="AR77" s="69" t="str">
        <f>IFERROR(HLOOKUP(D77,[15]明!$D$1:$AH$4,AR$3,FALSE),"")</f>
        <v>大橋</v>
      </c>
      <c r="AS77" s="23" t="str">
        <f>IFERROR(HLOOKUP(E77,[15]明!$D$1:$AH$4,AS$3,FALSE),"")</f>
        <v>南</v>
      </c>
      <c r="AT77" s="29" t="str">
        <f>IFERROR(HLOOKUP($D77,[15]●!$D$1:$AH$10,AT$3,FALSE),"")</f>
        <v>山村</v>
      </c>
      <c r="AU77" s="29" t="str">
        <f>IFERROR(HLOOKUP($D77,[15]●!$D$1:$AH$10,AU$3,FALSE),"")</f>
        <v>田村</v>
      </c>
      <c r="AV77" s="29" t="str">
        <f>IFERROR(HLOOKUP($D77,[15]●!$D$1:$AH$10,AV$3,FALSE),"")</f>
        <v>大畑</v>
      </c>
      <c r="AW77" s="29" t="str">
        <f>IFERROR(HLOOKUP($D77,[15]●!$D$1:$AH$10,AW$3,FALSE),"")</f>
        <v>谷口</v>
      </c>
      <c r="AX77" s="29" t="str">
        <f>IFERROR(HLOOKUP($D77,[15]●!$D$1:$AH$10,AX$3,FALSE),"")</f>
        <v>阪井田</v>
      </c>
      <c r="AY77" s="29" t="str">
        <f>IFERROR(HLOOKUP($D77,[15]●!$D$1:$AH$10,AY$3,FALSE),"")</f>
        <v/>
      </c>
    </row>
    <row r="78" spans="1:51" ht="13.9" customHeight="1" x14ac:dyDescent="0.15">
      <c r="A78" s="10">
        <v>2021</v>
      </c>
      <c r="B78" s="10">
        <v>1</v>
      </c>
      <c r="C78" s="67">
        <f t="shared" si="35"/>
        <v>44197</v>
      </c>
      <c r="D78" s="36">
        <f t="shared" ref="D78" si="47">IF(WEEKDAY((DATE(A76,B76,1)))&gt;4,(7-(WEEKDAY((DATE(A76,B76,1)))-4))+(DATE(A76,B76,1)),4-WEEKDAY((DATE(A76,B76,1)))+(DATE(A76,B76,1)))+21</f>
        <v>44223</v>
      </c>
      <c r="E78" s="37">
        <f t="shared" si="44"/>
        <v>44223</v>
      </c>
      <c r="F78" s="14" t="str">
        <f t="shared" si="45"/>
        <v>長田 弘二</v>
      </c>
      <c r="H78" s="72"/>
      <c r="I78" s="81"/>
      <c r="J78" s="81"/>
      <c r="K78" s="81"/>
      <c r="L78" s="81"/>
      <c r="M78" s="81"/>
      <c r="N78" s="81"/>
      <c r="O78" s="115"/>
      <c r="P78" s="115"/>
      <c r="Q78" s="115"/>
      <c r="R78" s="115"/>
      <c r="S78" s="81"/>
      <c r="T78" s="81"/>
      <c r="U78" s="81"/>
      <c r="V78" s="81">
        <v>1</v>
      </c>
      <c r="W78" s="81"/>
      <c r="X78" s="115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9"/>
      <c r="AK78" s="89"/>
      <c r="AL78" s="89"/>
      <c r="AM78" s="65"/>
      <c r="AN78" s="66"/>
      <c r="AR78" s="69" t="str">
        <f>IFERROR(HLOOKUP(D78,[15]明!$D$1:$AH$4,AR$3,FALSE),"")</f>
        <v>南</v>
      </c>
      <c r="AS78" s="23" t="str">
        <f>IFERROR(HLOOKUP(E78,[15]明!$D$1:$AH$4,AS$3,FALSE),"")</f>
        <v>長田</v>
      </c>
      <c r="AT78" s="29" t="str">
        <f>IFERROR(HLOOKUP($D78,[15]●!$D$1:$AH$10,AT$3,FALSE),"")</f>
        <v>山本</v>
      </c>
      <c r="AU78" s="29" t="str">
        <f>IFERROR(HLOOKUP($D78,[15]●!$D$1:$AH$10,AU$3,FALSE),"")</f>
        <v>庵</v>
      </c>
      <c r="AV78" s="29" t="str">
        <f>IFERROR(HLOOKUP($D78,[15]●!$D$1:$AH$10,AV$3,FALSE),"")</f>
        <v>大畑</v>
      </c>
      <c r="AW78" s="29" t="str">
        <f>IFERROR(HLOOKUP($D78,[15]●!$D$1:$AH$10,AW$3,FALSE),"")</f>
        <v>谷口</v>
      </c>
      <c r="AX78" s="29" t="str">
        <f>IFERROR(HLOOKUP($D78,[15]●!$D$1:$AH$10,AX$3,FALSE),"")</f>
        <v>阪井田</v>
      </c>
      <c r="AY78" s="29" t="str">
        <f>IFERROR(HLOOKUP($D78,[15]●!$D$1:$AH$10,AY$3,FALSE),"")</f>
        <v/>
      </c>
    </row>
    <row r="79" spans="1:51" ht="13.9" customHeight="1" x14ac:dyDescent="0.15">
      <c r="A79" s="10">
        <v>2021</v>
      </c>
      <c r="B79" s="10">
        <v>2</v>
      </c>
      <c r="C79" s="67">
        <f t="shared" si="35"/>
        <v>44228</v>
      </c>
      <c r="D79" s="36">
        <f t="shared" ref="D79:D142" si="48">IF(WEEKDAY((DATE(A79,B79,1)))&gt;4,(7-(WEEKDAY((DATE(A79,B79,1)))-4))+(DATE(A79,B79,1)),4-WEEKDAY((DATE(A79,B79,1)))+(DATE(A79,B79,1)))+7</f>
        <v>44237</v>
      </c>
      <c r="E79" s="37">
        <f t="shared" si="44"/>
        <v>44237</v>
      </c>
      <c r="F79" s="14" t="str">
        <f t="shared" si="45"/>
        <v>齊藤 久紘</v>
      </c>
      <c r="H79" s="72"/>
      <c r="I79" s="81"/>
      <c r="J79" s="81"/>
      <c r="K79" s="81"/>
      <c r="L79" s="81"/>
      <c r="M79" s="81"/>
      <c r="N79" s="81"/>
      <c r="O79" s="115"/>
      <c r="P79" s="115"/>
      <c r="Q79" s="115"/>
      <c r="R79" s="115"/>
      <c r="S79" s="81"/>
      <c r="T79" s="81"/>
      <c r="U79" s="81"/>
      <c r="V79" s="81"/>
      <c r="W79" s="81"/>
      <c r="X79" s="115"/>
      <c r="Y79" s="81"/>
      <c r="Z79" s="81"/>
      <c r="AA79" s="81"/>
      <c r="AB79" s="81">
        <v>1</v>
      </c>
      <c r="AC79" s="81"/>
      <c r="AD79" s="81"/>
      <c r="AE79" s="81"/>
      <c r="AF79" s="81"/>
      <c r="AG79" s="81"/>
      <c r="AH79" s="81"/>
      <c r="AI79" s="81"/>
      <c r="AJ79" s="89"/>
      <c r="AK79" s="89"/>
      <c r="AL79" s="89"/>
      <c r="AM79" s="65"/>
      <c r="AN79" s="66"/>
      <c r="AR79" s="69" t="str">
        <f>IFERROR(HLOOKUP(D79,[16]明!$D$1:$AH$4,AR$3,FALSE),"")</f>
        <v>清水</v>
      </c>
      <c r="AS79" s="23" t="str">
        <f>IFERROR(HLOOKUP(E79,[16]明!$D$1:$AH$4,AS$3,FALSE),"")</f>
        <v>齊藤</v>
      </c>
      <c r="AT79" s="29" t="str">
        <f>IFERROR(HLOOKUP($D79,[16]●!$D$1:$AH$10,AT$3,FALSE),"")</f>
        <v>中村</v>
      </c>
      <c r="AU79" s="29" t="str">
        <f>IFERROR(HLOOKUP($D79,[16]●!$D$1:$AH$10,AU$3,FALSE),"")</f>
        <v>大畑</v>
      </c>
      <c r="AV79" s="29" t="str">
        <f>IFERROR(HLOOKUP($D79,[16]●!$D$1:$AH$10,AV$3,FALSE),"")</f>
        <v>谷口</v>
      </c>
      <c r="AW79" s="29" t="str">
        <f>IFERROR(HLOOKUP($D79,[16]●!$D$1:$AH$10,AW$3,FALSE),"")</f>
        <v>阪井田</v>
      </c>
      <c r="AX79" s="29" t="str">
        <f>IFERROR(HLOOKUP($D79,[16]●!$D$1:$AH$10,AX$3,FALSE),"")</f>
        <v/>
      </c>
      <c r="AY79" s="29" t="str">
        <f>IFERROR(HLOOKUP($D79,[16]●!$D$1:$AH$10,AY$3,FALSE),"")</f>
        <v/>
      </c>
    </row>
    <row r="80" spans="1:51" ht="13.9" customHeight="1" x14ac:dyDescent="0.15">
      <c r="A80" s="10">
        <v>2021</v>
      </c>
      <c r="B80" s="10">
        <v>2</v>
      </c>
      <c r="C80" s="67">
        <f t="shared" si="35"/>
        <v>44228</v>
      </c>
      <c r="D80" s="38">
        <f t="shared" ref="D80:D143" si="49">IF(WEEKDAY(DATE(A80,B80,1))&gt;3,(7-(WEEKDAY(DATE(A80,B80,1))-3))+DATE(A80,B80,1),3-WEEKDAY(DATE(A80,B80,1))+DATE(A80,B80,1))+14</f>
        <v>44243</v>
      </c>
      <c r="E80" s="37">
        <f t="shared" si="44"/>
        <v>44243</v>
      </c>
      <c r="F80" s="14" t="str">
        <f t="shared" si="45"/>
        <v/>
      </c>
      <c r="H80" s="72"/>
      <c r="I80" s="81"/>
      <c r="J80" s="81"/>
      <c r="K80" s="81"/>
      <c r="L80" s="81"/>
      <c r="M80" s="81"/>
      <c r="N80" s="81"/>
      <c r="O80" s="115"/>
      <c r="P80" s="115"/>
      <c r="Q80" s="115"/>
      <c r="R80" s="115"/>
      <c r="S80" s="81"/>
      <c r="T80" s="81"/>
      <c r="U80" s="81"/>
      <c r="V80" s="81"/>
      <c r="W80" s="81"/>
      <c r="X80" s="115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9"/>
      <c r="AK80" s="89"/>
      <c r="AL80" s="89"/>
      <c r="AM80" s="65"/>
      <c r="AN80" s="66"/>
      <c r="AR80" s="69" t="str">
        <f>IFERROR(HLOOKUP(D80,[16]明!$D$1:$AH$4,AR$3,FALSE),"")</f>
        <v>山下</v>
      </c>
      <c r="AS80" s="23" t="str">
        <f>IFERROR(HLOOKUP(E80,[16]明!$D$1:$AH$4,AS$3,FALSE),"")</f>
        <v>中村</v>
      </c>
      <c r="AT80" s="29" t="str">
        <f>IFERROR(HLOOKUP($D80,[16]●!$D$1:$AH$10,AT$3,FALSE),"")</f>
        <v>大橋</v>
      </c>
      <c r="AU80" s="29" t="str">
        <f>IFERROR(HLOOKUP($D80,[16]●!$D$1:$AH$10,AU$3,FALSE),"")</f>
        <v>大畑</v>
      </c>
      <c r="AV80" s="29" t="str">
        <f>IFERROR(HLOOKUP($D80,[16]●!$D$1:$AH$10,AV$3,FALSE),"")</f>
        <v>谷口</v>
      </c>
      <c r="AW80" s="29" t="str">
        <f>IFERROR(HLOOKUP($D80,[16]●!$D$1:$AH$10,AW$3,FALSE),"")</f>
        <v>阪井田</v>
      </c>
      <c r="AX80" s="29" t="str">
        <f>IFERROR(HLOOKUP($D80,[16]●!$D$1:$AH$10,AX$3,FALSE),"")</f>
        <v>諸田</v>
      </c>
      <c r="AY80" s="29" t="str">
        <f>IFERROR(HLOOKUP($D80,[16]●!$D$1:$AH$10,AY$3,FALSE),"")</f>
        <v/>
      </c>
    </row>
    <row r="81" spans="1:51" ht="13.9" customHeight="1" x14ac:dyDescent="0.15">
      <c r="A81" s="10">
        <v>2021</v>
      </c>
      <c r="B81" s="10">
        <v>2</v>
      </c>
      <c r="C81" s="67">
        <f t="shared" si="35"/>
        <v>44228</v>
      </c>
      <c r="D81" s="36">
        <f t="shared" ref="D81:D144" si="50">IF(WEEKDAY((DATE(A79,B79,1)))&gt;4,(7-(WEEKDAY((DATE(A79,B79,1)))-4))+(DATE(A79,B79,1)),4-WEEKDAY((DATE(A79,B79,1)))+(DATE(A79,B79,1)))+21</f>
        <v>44251</v>
      </c>
      <c r="E81" s="37">
        <f t="shared" si="44"/>
        <v>44251</v>
      </c>
      <c r="F81" s="14" t="str">
        <f t="shared" si="45"/>
        <v>齊藤 久紘</v>
      </c>
      <c r="H81" s="72"/>
      <c r="I81" s="81"/>
      <c r="J81" s="81"/>
      <c r="K81" s="81"/>
      <c r="L81" s="81"/>
      <c r="M81" s="81"/>
      <c r="N81" s="81"/>
      <c r="O81" s="115"/>
      <c r="P81" s="115"/>
      <c r="Q81" s="115"/>
      <c r="R81" s="115"/>
      <c r="S81" s="81"/>
      <c r="T81" s="81"/>
      <c r="U81" s="81"/>
      <c r="V81" s="81"/>
      <c r="W81" s="81"/>
      <c r="X81" s="115"/>
      <c r="Y81" s="81"/>
      <c r="Z81" s="81"/>
      <c r="AA81" s="81"/>
      <c r="AB81" s="81">
        <v>1</v>
      </c>
      <c r="AC81" s="81"/>
      <c r="AD81" s="81"/>
      <c r="AE81" s="81"/>
      <c r="AF81" s="81"/>
      <c r="AG81" s="81"/>
      <c r="AH81" s="81"/>
      <c r="AI81" s="81"/>
      <c r="AJ81" s="89"/>
      <c r="AK81" s="89"/>
      <c r="AL81" s="89"/>
      <c r="AM81" s="65"/>
      <c r="AN81" s="66"/>
      <c r="AR81" s="69" t="str">
        <f>IFERROR(HLOOKUP(D81,[16]明!$D$1:$AH$4,AR$3,FALSE),"")</f>
        <v>大橋</v>
      </c>
      <c r="AS81" s="23" t="str">
        <f>IFERROR(HLOOKUP(E81,[16]明!$D$1:$AH$4,AS$3,FALSE),"")</f>
        <v>澤野</v>
      </c>
      <c r="AT81" s="29" t="str">
        <f>IFERROR(HLOOKUP($D81,[16]●!$D$1:$AH$10,AT$3,FALSE),"")</f>
        <v>長田</v>
      </c>
      <c r="AU81" s="29" t="str">
        <f>IFERROR(HLOOKUP($D81,[16]●!$D$1:$AH$10,AU$3,FALSE),"")</f>
        <v>齊藤</v>
      </c>
      <c r="AV81" s="29" t="str">
        <f>IFERROR(HLOOKUP($D81,[16]●!$D$1:$AH$10,AV$3,FALSE),"")</f>
        <v>大畑</v>
      </c>
      <c r="AW81" s="29" t="str">
        <f>IFERROR(HLOOKUP($D81,[16]●!$D$1:$AH$10,AW$3,FALSE),"")</f>
        <v>谷口</v>
      </c>
      <c r="AX81" s="29" t="str">
        <f>IFERROR(HLOOKUP($D81,[16]●!$D$1:$AH$10,AX$3,FALSE),"")</f>
        <v>阪井田</v>
      </c>
      <c r="AY81" s="29" t="str">
        <f>IFERROR(HLOOKUP($D81,[16]●!$D$1:$AH$10,AY$3,FALSE),"")</f>
        <v/>
      </c>
    </row>
    <row r="82" spans="1:51" ht="13.9" customHeight="1" x14ac:dyDescent="0.15">
      <c r="A82" s="10">
        <v>2021</v>
      </c>
      <c r="B82" s="10">
        <v>3</v>
      </c>
      <c r="C82" s="67">
        <f t="shared" si="35"/>
        <v>44256</v>
      </c>
      <c r="D82" s="36">
        <f t="shared" si="48"/>
        <v>44265</v>
      </c>
      <c r="E82" s="37">
        <f t="shared" si="44"/>
        <v>44265</v>
      </c>
      <c r="F82" s="14" t="str">
        <f t="shared" si="45"/>
        <v>中川　大誠</v>
      </c>
      <c r="H82" s="72"/>
      <c r="I82" s="81"/>
      <c r="J82" s="81"/>
      <c r="K82" s="81"/>
      <c r="L82" s="81"/>
      <c r="M82" s="81"/>
      <c r="N82" s="81"/>
      <c r="O82" s="115"/>
      <c r="P82" s="115"/>
      <c r="Q82" s="115"/>
      <c r="R82" s="115"/>
      <c r="S82" s="81"/>
      <c r="T82" s="81"/>
      <c r="U82" s="81"/>
      <c r="V82" s="81"/>
      <c r="W82" s="81"/>
      <c r="X82" s="115"/>
      <c r="Y82" s="81"/>
      <c r="Z82" s="81"/>
      <c r="AA82" s="81"/>
      <c r="AB82" s="81"/>
      <c r="AC82" s="81"/>
      <c r="AD82" s="81"/>
      <c r="AE82" s="81"/>
      <c r="AF82" s="81">
        <v>1</v>
      </c>
      <c r="AG82" s="81"/>
      <c r="AH82" s="81"/>
      <c r="AI82" s="81"/>
      <c r="AJ82" s="89"/>
      <c r="AK82" s="89"/>
      <c r="AL82" s="89"/>
      <c r="AM82" s="65"/>
      <c r="AN82" s="66"/>
      <c r="AR82" s="22" t="str">
        <f>IFERROR(HLOOKUP(D82,[17]明!$D$1:$AH$4,AR$3,FALSE),"")</f>
        <v>庵</v>
      </c>
      <c r="AS82" s="23" t="str">
        <f>IFERROR(HLOOKUP(E82,[17]明!$D$1:$AH$4,AS$3,FALSE),"")</f>
        <v>本田</v>
      </c>
      <c r="AT82" s="29" t="str">
        <f>IFERROR(HLOOKUP($D82,[17]●!$D$1:$AH$10,AT$3,FALSE),"")</f>
        <v>澤野</v>
      </c>
      <c r="AU82" s="29" t="str">
        <f>IFERROR(HLOOKUP($D82,[17]●!$D$1:$AH$10,AU$3,FALSE),"")</f>
        <v>大畑</v>
      </c>
      <c r="AV82" s="29" t="str">
        <f>IFERROR(HLOOKUP($D82,[17]●!$D$1:$AH$10,AV$3,FALSE),"")</f>
        <v>阪井田</v>
      </c>
      <c r="AW82" s="29" t="str">
        <f>IFERROR(HLOOKUP($D82,[17]●!$D$1:$AH$10,AW$3,FALSE),"")</f>
        <v/>
      </c>
      <c r="AX82" s="29" t="str">
        <f>IFERROR(HLOOKUP($D82,[17]●!$D$1:$AH$10,AX$3,FALSE),"")</f>
        <v/>
      </c>
      <c r="AY82" s="29" t="str">
        <f>IFERROR(HLOOKUP($D82,[17]●!$D$1:$AH$10,AY$3,FALSE),"")</f>
        <v/>
      </c>
    </row>
    <row r="83" spans="1:51" ht="13.9" customHeight="1" x14ac:dyDescent="0.15">
      <c r="A83" s="10">
        <v>2021</v>
      </c>
      <c r="B83" s="10">
        <v>3</v>
      </c>
      <c r="C83" s="67">
        <f t="shared" ref="C83:C93" si="51">DATE(A83,B83,1)</f>
        <v>44256</v>
      </c>
      <c r="D83" s="38">
        <f t="shared" si="49"/>
        <v>44271</v>
      </c>
      <c r="E83" s="37">
        <f t="shared" ref="E83:E91" si="52">D83</f>
        <v>44271</v>
      </c>
      <c r="F83" s="14" t="str">
        <f t="shared" ref="F83:F91" si="53">IFERROR(INDEX($H$1:$AN$1,1,MATCH(1,H83:AN83)),"")</f>
        <v>清水　正生</v>
      </c>
      <c r="H83" s="72"/>
      <c r="I83" s="81"/>
      <c r="J83" s="81"/>
      <c r="K83" s="81"/>
      <c r="L83" s="81"/>
      <c r="M83" s="81"/>
      <c r="N83" s="81"/>
      <c r="O83" s="115"/>
      <c r="P83" s="115"/>
      <c r="Q83" s="115"/>
      <c r="R83" s="115"/>
      <c r="S83" s="81"/>
      <c r="T83" s="81"/>
      <c r="U83" s="81"/>
      <c r="V83" s="81"/>
      <c r="W83" s="81"/>
      <c r="X83" s="115"/>
      <c r="Y83" s="8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9">
        <v>1</v>
      </c>
      <c r="AK83" s="89"/>
      <c r="AL83" s="89"/>
      <c r="AM83" s="65"/>
      <c r="AN83" s="66"/>
      <c r="AR83" s="22" t="str">
        <f>IFERROR(HLOOKUP(D83,[17]明!$D$1:$AH$4,AR$3,FALSE),"")</f>
        <v>中村</v>
      </c>
      <c r="AS83" s="23" t="str">
        <f>IFERROR(HLOOKUP(E83,[17]明!$D$1:$AH$4,AS$3,FALSE),"")</f>
        <v>龍野</v>
      </c>
      <c r="AT83" s="29" t="str">
        <f>IFERROR(HLOOKUP($D83,[17]●!$D$1:$AH$10,AT$3,FALSE),"")</f>
        <v>南</v>
      </c>
      <c r="AU83" s="29" t="str">
        <f>IFERROR(HLOOKUP($D83,[17]●!$D$1:$AH$10,AU$3,FALSE),"")</f>
        <v>大畑</v>
      </c>
      <c r="AV83" s="29" t="str">
        <f>IFERROR(HLOOKUP($D83,[17]●!$D$1:$AH$10,AV$3,FALSE),"")</f>
        <v>谷口</v>
      </c>
      <c r="AW83" s="29" t="str">
        <f>IFERROR(HLOOKUP($D83,[17]●!$D$1:$AH$10,AW$3,FALSE),"")</f>
        <v>阪井田</v>
      </c>
      <c r="AX83" s="29" t="str">
        <f>IFERROR(HLOOKUP($D83,[17]●!$D$1:$AH$10,AX$3,FALSE),"")</f>
        <v/>
      </c>
      <c r="AY83" s="29" t="str">
        <f>IFERROR(HLOOKUP($D83,[17]●!$D$1:$AH$10,AY$3,FALSE),"")</f>
        <v/>
      </c>
    </row>
    <row r="84" spans="1:51" ht="13.9" customHeight="1" x14ac:dyDescent="0.15">
      <c r="A84" s="10">
        <v>2021</v>
      </c>
      <c r="B84" s="10">
        <v>3</v>
      </c>
      <c r="C84" s="67">
        <f t="shared" si="51"/>
        <v>44256</v>
      </c>
      <c r="D84" s="36">
        <f t="shared" si="50"/>
        <v>44279</v>
      </c>
      <c r="E84" s="37">
        <f t="shared" si="52"/>
        <v>44279</v>
      </c>
      <c r="F84" s="14" t="str">
        <f t="shared" si="53"/>
        <v>菅野　祐萌</v>
      </c>
      <c r="H84" s="72"/>
      <c r="I84" s="81"/>
      <c r="J84" s="81"/>
      <c r="K84" s="81"/>
      <c r="L84" s="81"/>
      <c r="M84" s="81"/>
      <c r="N84" s="81"/>
      <c r="O84" s="115"/>
      <c r="P84" s="115"/>
      <c r="Q84" s="115"/>
      <c r="R84" s="115"/>
      <c r="S84" s="81">
        <v>1</v>
      </c>
      <c r="T84" s="81"/>
      <c r="U84" s="81"/>
      <c r="V84" s="81"/>
      <c r="W84" s="81"/>
      <c r="X84" s="115"/>
      <c r="Y84" s="8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9"/>
      <c r="AK84" s="89"/>
      <c r="AL84" s="89"/>
      <c r="AM84" s="65"/>
      <c r="AN84" s="66"/>
      <c r="AR84" s="22" t="str">
        <f>IFERROR(HLOOKUP(D84,[17]明!$D$1:$AH$4,AR$3,FALSE),"")</f>
        <v>山村</v>
      </c>
      <c r="AS84" s="23" t="str">
        <f>IFERROR(HLOOKUP(E84,[17]明!$D$1:$AH$4,AS$3,FALSE),"")</f>
        <v>澤野</v>
      </c>
      <c r="AT84" s="29" t="str">
        <f>IFERROR(HLOOKUP($D84,[17]●!$D$1:$AH$10,AT$3,FALSE),"")</f>
        <v>山本</v>
      </c>
      <c r="AU84" s="29" t="str">
        <f>IFERROR(HLOOKUP($D84,[17]●!$D$1:$AH$10,AU$3,FALSE),"")</f>
        <v>長田</v>
      </c>
      <c r="AV84" s="29" t="str">
        <f>IFERROR(HLOOKUP($D84,[17]●!$D$1:$AH$10,AV$3,FALSE),"")</f>
        <v>大畑</v>
      </c>
      <c r="AW84" s="29" t="str">
        <f>IFERROR(HLOOKUP($D84,[17]●!$D$1:$AH$10,AW$3,FALSE),"")</f>
        <v>谷口</v>
      </c>
      <c r="AX84" s="29" t="str">
        <f>IFERROR(HLOOKUP($D84,[17]●!$D$1:$AH$10,AX$3,FALSE),"")</f>
        <v>阪井田</v>
      </c>
      <c r="AY84" s="29" t="str">
        <f>IFERROR(HLOOKUP($D84,[17]●!$D$1:$AH$10,AY$3,FALSE),"")</f>
        <v/>
      </c>
    </row>
    <row r="85" spans="1:51" ht="13.9" customHeight="1" x14ac:dyDescent="0.15">
      <c r="A85" s="10">
        <v>2021</v>
      </c>
      <c r="B85" s="10">
        <v>4</v>
      </c>
      <c r="C85" s="67">
        <f t="shared" si="51"/>
        <v>44287</v>
      </c>
      <c r="D85" s="36">
        <f t="shared" si="48"/>
        <v>44300</v>
      </c>
      <c r="E85" s="37">
        <f t="shared" si="52"/>
        <v>44300</v>
      </c>
      <c r="F85" s="14" t="str">
        <f t="shared" si="53"/>
        <v>加藤 靖博</v>
      </c>
      <c r="H85" s="72"/>
      <c r="I85" s="81"/>
      <c r="J85" s="81"/>
      <c r="K85" s="81"/>
      <c r="L85" s="81"/>
      <c r="M85" s="81"/>
      <c r="N85" s="81"/>
      <c r="O85" s="115"/>
      <c r="P85" s="115"/>
      <c r="Q85" s="115"/>
      <c r="R85" s="115"/>
      <c r="S85" s="81"/>
      <c r="T85" s="81"/>
      <c r="U85" s="81"/>
      <c r="V85" s="81"/>
      <c r="W85" s="81"/>
      <c r="X85" s="115"/>
      <c r="Y85" s="81"/>
      <c r="Z85" s="81"/>
      <c r="AA85" s="81"/>
      <c r="AB85" s="81"/>
      <c r="AC85" s="81"/>
      <c r="AD85" s="81"/>
      <c r="AE85" s="81">
        <v>1</v>
      </c>
      <c r="AF85" s="81"/>
      <c r="AG85" s="81"/>
      <c r="AH85" s="81"/>
      <c r="AI85" s="81"/>
      <c r="AJ85" s="89"/>
      <c r="AK85" s="89"/>
      <c r="AL85" s="89"/>
      <c r="AM85" s="65"/>
      <c r="AN85" s="66"/>
      <c r="AR85" s="22" t="str">
        <f>IFERROR(HLOOKUP(D85,[18]明!$D$1:$AH$4,AR$3,FALSE),"")</f>
        <v>山本</v>
      </c>
      <c r="AS85" s="23" t="str">
        <f>IFERROR(HLOOKUP(E85,[18]明!$D$1:$AH$4,AS$3,FALSE),"")</f>
        <v>加藤</v>
      </c>
      <c r="AT85" s="29" t="str">
        <f>IFERROR(HLOOKUP($D85,[18]●!$D$1:$AH$10,AT$3,FALSE),"")</f>
        <v>佐藤穂</v>
      </c>
      <c r="AU85" s="29" t="str">
        <f>IFERROR(HLOOKUP($D85,[18]●!$D$1:$AH$10,AU$3,FALSE),"")</f>
        <v/>
      </c>
      <c r="AV85" s="29" t="str">
        <f>IFERROR(HLOOKUP($D85,[18]●!$D$1:$AH$10,AV$3,FALSE),"")</f>
        <v/>
      </c>
      <c r="AW85" s="29" t="str">
        <f>IFERROR(HLOOKUP($D85,[18]●!$D$1:$AH$10,AW$3,FALSE),"")</f>
        <v/>
      </c>
      <c r="AX85" s="29" t="str">
        <f>IFERROR(HLOOKUP($D85,[18]●!$D$1:$AH$10,AX$3,FALSE),"")</f>
        <v/>
      </c>
      <c r="AY85" s="29" t="str">
        <f>IFERROR(HLOOKUP($D85,[18]●!$D$1:$AH$10,AY$3,FALSE),"")</f>
        <v/>
      </c>
    </row>
    <row r="86" spans="1:51" ht="13.9" customHeight="1" x14ac:dyDescent="0.15">
      <c r="A86" s="10">
        <v>2021</v>
      </c>
      <c r="B86" s="10">
        <v>4</v>
      </c>
      <c r="C86" s="67">
        <f t="shared" si="51"/>
        <v>44287</v>
      </c>
      <c r="D86" s="38">
        <f t="shared" si="49"/>
        <v>44306</v>
      </c>
      <c r="E86" s="37">
        <f t="shared" si="52"/>
        <v>44306</v>
      </c>
      <c r="F86" s="14" t="str">
        <f t="shared" si="53"/>
        <v>西郡　健太</v>
      </c>
      <c r="H86" s="72"/>
      <c r="I86" s="81"/>
      <c r="J86" s="81"/>
      <c r="K86" s="81"/>
      <c r="L86" s="81"/>
      <c r="M86" s="81"/>
      <c r="N86" s="81"/>
      <c r="O86" s="115"/>
      <c r="P86" s="115"/>
      <c r="Q86" s="115"/>
      <c r="R86" s="115"/>
      <c r="S86" s="81"/>
      <c r="T86" s="81"/>
      <c r="U86" s="81"/>
      <c r="V86" s="81"/>
      <c r="W86" s="81"/>
      <c r="X86" s="115"/>
      <c r="Y86" s="81"/>
      <c r="Z86" s="81"/>
      <c r="AA86" s="81"/>
      <c r="AB86" s="81"/>
      <c r="AC86" s="81"/>
      <c r="AD86" s="81"/>
      <c r="AE86" s="81"/>
      <c r="AF86" s="81"/>
      <c r="AG86" s="81"/>
      <c r="AH86" s="81"/>
      <c r="AI86" s="81">
        <v>1</v>
      </c>
      <c r="AJ86" s="89"/>
      <c r="AK86" s="89"/>
      <c r="AL86" s="89"/>
      <c r="AM86" s="65"/>
      <c r="AN86" s="66"/>
      <c r="AR86" s="22" t="str">
        <f>IFERROR(HLOOKUP(D86,[18]明!$D$1:$AH$4,AR$3,FALSE),"")</f>
        <v>西郡</v>
      </c>
      <c r="AS86" s="23" t="str">
        <f>IFERROR(HLOOKUP(E86,[18]明!$D$1:$AH$4,AS$3,FALSE),"")</f>
        <v>諸田</v>
      </c>
      <c r="AT86" s="29" t="str">
        <f>IFERROR(HLOOKUP($D86,[18]●!$D$1:$AH$10,AT$3,FALSE),"")</f>
        <v>平田真</v>
      </c>
      <c r="AU86" s="29" t="str">
        <f>IFERROR(HLOOKUP($D86,[18]●!$D$1:$AH$10,AU$3,FALSE),"")</f>
        <v>本田</v>
      </c>
      <c r="AV86" s="29" t="str">
        <f>IFERROR(HLOOKUP($D86,[18]●!$D$1:$AH$10,AV$3,FALSE),"")</f>
        <v/>
      </c>
      <c r="AW86" s="29" t="str">
        <f>IFERROR(HLOOKUP($D86,[18]●!$D$1:$AH$10,AW$3,FALSE),"")</f>
        <v/>
      </c>
      <c r="AX86" s="29" t="str">
        <f>IFERROR(HLOOKUP($D86,[18]●!$D$1:$AH$10,AX$3,FALSE),"")</f>
        <v/>
      </c>
      <c r="AY86" s="29" t="str">
        <f>IFERROR(HLOOKUP($D86,[18]●!$D$1:$AH$10,AY$3,FALSE),"")</f>
        <v/>
      </c>
    </row>
    <row r="87" spans="1:51" ht="13.9" customHeight="1" x14ac:dyDescent="0.15">
      <c r="A87" s="10">
        <v>2021</v>
      </c>
      <c r="B87" s="10">
        <v>4</v>
      </c>
      <c r="C87" s="67">
        <f t="shared" si="51"/>
        <v>44287</v>
      </c>
      <c r="D87" s="36">
        <f t="shared" si="50"/>
        <v>44314</v>
      </c>
      <c r="E87" s="37">
        <f t="shared" si="52"/>
        <v>44314</v>
      </c>
      <c r="F87" s="14" t="str">
        <f t="shared" si="53"/>
        <v>諸田　悠也</v>
      </c>
      <c r="H87" s="72"/>
      <c r="I87" s="81"/>
      <c r="J87" s="81"/>
      <c r="K87" s="81"/>
      <c r="L87" s="81"/>
      <c r="M87" s="81"/>
      <c r="N87" s="81"/>
      <c r="O87" s="115"/>
      <c r="P87" s="115"/>
      <c r="Q87" s="115"/>
      <c r="R87" s="115"/>
      <c r="S87" s="81"/>
      <c r="T87" s="81"/>
      <c r="U87" s="81"/>
      <c r="V87" s="81"/>
      <c r="W87" s="81"/>
      <c r="X87" s="115"/>
      <c r="Y87" s="81"/>
      <c r="Z87" s="81"/>
      <c r="AA87" s="81"/>
      <c r="AB87" s="81"/>
      <c r="AC87" s="81"/>
      <c r="AD87" s="81"/>
      <c r="AE87" s="81"/>
      <c r="AF87" s="81"/>
      <c r="AG87" s="81"/>
      <c r="AH87" s="81"/>
      <c r="AI87" s="81"/>
      <c r="AJ87" s="89"/>
      <c r="AK87" s="89">
        <v>1</v>
      </c>
      <c r="AL87" s="89"/>
      <c r="AM87" s="65"/>
      <c r="AN87" s="66"/>
      <c r="AR87" s="22" t="str">
        <f>IFERROR(HLOOKUP(D87,[18]明!$D$1:$AH$4,AR$3,FALSE),"")</f>
        <v>長田</v>
      </c>
      <c r="AS87" s="23" t="str">
        <f>IFERROR(HLOOKUP(E87,[18]明!$D$1:$AH$4,AS$3,FALSE),"")</f>
        <v>諸田</v>
      </c>
      <c r="AT87" s="29" t="str">
        <f>IFERROR(HLOOKUP($D87,[18]●!$D$1:$AH$10,AT$3,FALSE),"")</f>
        <v>澤野</v>
      </c>
      <c r="AU87" s="29" t="str">
        <f>IFERROR(HLOOKUP($D87,[18]●!$D$1:$AH$10,AU$3,FALSE),"")</f>
        <v>龍野</v>
      </c>
      <c r="AV87" s="29" t="str">
        <f>IFERROR(HLOOKUP($D87,[18]●!$D$1:$AH$10,AV$3,FALSE),"")</f>
        <v/>
      </c>
      <c r="AW87" s="29" t="str">
        <f>IFERROR(HLOOKUP($D87,[18]●!$D$1:$AH$10,AW$3,FALSE),"")</f>
        <v/>
      </c>
      <c r="AX87" s="29" t="str">
        <f>IFERROR(HLOOKUP($D87,[18]●!$D$1:$AH$10,AX$3,FALSE),"")</f>
        <v/>
      </c>
      <c r="AY87" s="29" t="str">
        <f>IFERROR(HLOOKUP($D87,[18]●!$D$1:$AH$10,AY$3,FALSE),"")</f>
        <v/>
      </c>
    </row>
    <row r="88" spans="1:51" ht="13.9" customHeight="1" x14ac:dyDescent="0.15">
      <c r="A88" s="10">
        <v>2021</v>
      </c>
      <c r="B88" s="10">
        <v>5</v>
      </c>
      <c r="C88" s="67">
        <f t="shared" si="51"/>
        <v>44317</v>
      </c>
      <c r="D88" s="36">
        <f t="shared" si="48"/>
        <v>44328</v>
      </c>
      <c r="E88" s="37">
        <f t="shared" si="52"/>
        <v>44328</v>
      </c>
      <c r="F88" s="14" t="str">
        <f t="shared" si="53"/>
        <v>西明 千織</v>
      </c>
      <c r="H88" s="72">
        <v>1</v>
      </c>
      <c r="I88" s="81"/>
      <c r="J88" s="81"/>
      <c r="K88" s="81"/>
      <c r="L88" s="81"/>
      <c r="M88" s="81"/>
      <c r="N88" s="81"/>
      <c r="O88" s="115"/>
      <c r="P88" s="115"/>
      <c r="Q88" s="115"/>
      <c r="R88" s="115"/>
      <c r="S88" s="81"/>
      <c r="T88" s="81"/>
      <c r="U88" s="81"/>
      <c r="V88" s="81"/>
      <c r="W88" s="81"/>
      <c r="X88" s="115"/>
      <c r="Y88" s="81"/>
      <c r="Z88" s="81"/>
      <c r="AA88" s="81"/>
      <c r="AB88" s="81"/>
      <c r="AC88" s="81"/>
      <c r="AD88" s="81"/>
      <c r="AE88" s="81"/>
      <c r="AF88" s="81"/>
      <c r="AG88" s="81"/>
      <c r="AH88" s="81"/>
      <c r="AI88" s="81"/>
      <c r="AJ88" s="89"/>
      <c r="AK88" s="89"/>
      <c r="AL88" s="89"/>
      <c r="AM88" s="65"/>
      <c r="AN88" s="66"/>
      <c r="AR88" s="69" t="str">
        <f>IFERROR(HLOOKUP(D88,[19]明!$D$1:$AH$4,AR$3,FALSE),"")</f>
        <v>大橋</v>
      </c>
      <c r="AS88" s="23" t="str">
        <f>IFERROR(HLOOKUP(E88,[19]明!$D$1:$AH$4,AS$3,FALSE),"")</f>
        <v>山田</v>
      </c>
      <c r="AT88" s="29" t="str">
        <f>IFERROR(HLOOKUP($D88,[19]●!$D$1:$AH$10,AT$3,FALSE),"")</f>
        <v>澤野</v>
      </c>
      <c r="AU88" s="29" t="str">
        <f>IFERROR(HLOOKUP($D88,[19]●!$D$1:$AH$10,AU$3,FALSE),"")</f>
        <v>松木</v>
      </c>
      <c r="AV88" s="29" t="str">
        <f>IFERROR(HLOOKUP($D88,[19]●!$D$1:$AH$10,AV$3,FALSE),"")</f>
        <v/>
      </c>
      <c r="AW88" s="29" t="str">
        <f>IFERROR(HLOOKUP($D88,[19]●!$D$1:$AH$10,AW$3,FALSE),"")</f>
        <v/>
      </c>
      <c r="AX88" s="29" t="str">
        <f>IFERROR(HLOOKUP($D88,[19]●!$D$1:$AH$10,AX$3,FALSE),"")</f>
        <v/>
      </c>
      <c r="AY88" s="29" t="str">
        <f>IFERROR(HLOOKUP($D88,[19]●!$D$1:$AH$10,AY$3,FALSE),"")</f>
        <v/>
      </c>
    </row>
    <row r="89" spans="1:51" ht="13.9" customHeight="1" x14ac:dyDescent="0.15">
      <c r="A89" s="10">
        <v>2021</v>
      </c>
      <c r="B89" s="10">
        <v>5</v>
      </c>
      <c r="C89" s="67">
        <f t="shared" si="51"/>
        <v>44317</v>
      </c>
      <c r="D89" s="38">
        <f t="shared" si="49"/>
        <v>44334</v>
      </c>
      <c r="E89" s="37">
        <f t="shared" si="52"/>
        <v>44334</v>
      </c>
      <c r="F89" s="14" t="str">
        <f t="shared" si="53"/>
        <v>平田 恵哉</v>
      </c>
      <c r="H89" s="72"/>
      <c r="I89" s="81"/>
      <c r="J89" s="81"/>
      <c r="K89" s="81"/>
      <c r="L89" s="81"/>
      <c r="M89" s="81"/>
      <c r="N89" s="81"/>
      <c r="O89" s="115"/>
      <c r="P89" s="115"/>
      <c r="Q89" s="115"/>
      <c r="R89" s="115"/>
      <c r="S89" s="81"/>
      <c r="T89" s="81"/>
      <c r="U89" s="81">
        <v>1</v>
      </c>
      <c r="V89" s="81"/>
      <c r="W89" s="81"/>
      <c r="X89" s="115"/>
      <c r="Y89" s="81"/>
      <c r="Z89" s="81"/>
      <c r="AA89" s="81"/>
      <c r="AB89" s="81"/>
      <c r="AC89" s="81"/>
      <c r="AD89" s="81"/>
      <c r="AE89" s="81"/>
      <c r="AF89" s="81"/>
      <c r="AG89" s="81"/>
      <c r="AH89" s="81"/>
      <c r="AI89" s="81"/>
      <c r="AJ89" s="89"/>
      <c r="AK89" s="89"/>
      <c r="AL89" s="89"/>
      <c r="AM89" s="65"/>
      <c r="AN89" s="66"/>
      <c r="AR89" s="69" t="str">
        <f>IFERROR(HLOOKUP(D89,[19]明!$D$1:$AH$4,AR$3,FALSE),"")</f>
        <v>平田恵</v>
      </c>
      <c r="AS89" s="23" t="str">
        <f>IFERROR(HLOOKUP(E89,[19]明!$D$1:$AH$4,AS$3,FALSE),"")</f>
        <v>庵</v>
      </c>
      <c r="AT89" s="29" t="str">
        <f>IFERROR(HLOOKUP($D89,[19]●!$D$1:$AH$10,AT$3,FALSE),"")</f>
        <v>山本</v>
      </c>
      <c r="AU89" s="29" t="str">
        <f>IFERROR(HLOOKUP($D89,[19]●!$D$1:$AH$10,AU$3,FALSE),"")</f>
        <v>佐藤恵</v>
      </c>
      <c r="AV89" s="29" t="str">
        <f>IFERROR(HLOOKUP($D89,[19]●!$D$1:$AH$10,AV$3,FALSE),"")</f>
        <v>龍野</v>
      </c>
      <c r="AW89" s="29" t="str">
        <f>IFERROR(HLOOKUP($D89,[19]●!$D$1:$AH$10,AW$3,FALSE),"")</f>
        <v/>
      </c>
      <c r="AX89" s="29" t="str">
        <f>IFERROR(HLOOKUP($D89,[19]●!$D$1:$AH$10,AX$3,FALSE),"")</f>
        <v/>
      </c>
      <c r="AY89" s="29" t="str">
        <f>IFERROR(HLOOKUP($D89,[19]●!$D$1:$AH$10,AY$3,FALSE),"")</f>
        <v/>
      </c>
    </row>
    <row r="90" spans="1:51" ht="13.9" customHeight="1" x14ac:dyDescent="0.15">
      <c r="A90" s="10">
        <v>2021</v>
      </c>
      <c r="B90" s="10">
        <v>5</v>
      </c>
      <c r="C90" s="67">
        <f t="shared" si="51"/>
        <v>44317</v>
      </c>
      <c r="D90" s="36">
        <f t="shared" si="50"/>
        <v>44342</v>
      </c>
      <c r="E90" s="37">
        <f t="shared" si="52"/>
        <v>44342</v>
      </c>
      <c r="F90" s="14" t="str">
        <f t="shared" si="53"/>
        <v/>
      </c>
      <c r="H90" s="72"/>
      <c r="I90" s="81"/>
      <c r="J90" s="81"/>
      <c r="K90" s="81"/>
      <c r="L90" s="81"/>
      <c r="M90" s="81"/>
      <c r="N90" s="81"/>
      <c r="O90" s="115"/>
      <c r="P90" s="115"/>
      <c r="Q90" s="115"/>
      <c r="R90" s="115"/>
      <c r="S90" s="81"/>
      <c r="T90" s="81"/>
      <c r="U90" s="81"/>
      <c r="V90" s="81"/>
      <c r="W90" s="81"/>
      <c r="X90" s="115"/>
      <c r="Y90" s="81"/>
      <c r="Z90" s="81"/>
      <c r="AA90" s="81"/>
      <c r="AB90" s="81"/>
      <c r="AC90" s="81"/>
      <c r="AD90" s="81"/>
      <c r="AE90" s="81"/>
      <c r="AF90" s="81"/>
      <c r="AG90" s="81"/>
      <c r="AH90" s="81"/>
      <c r="AI90" s="81"/>
      <c r="AJ90" s="89"/>
      <c r="AK90" s="89"/>
      <c r="AL90" s="89"/>
      <c r="AM90" s="65"/>
      <c r="AN90" s="66"/>
      <c r="AR90" s="69" t="str">
        <f>IFERROR(HLOOKUP(D90,[19]明!$D$1:$AH$4,AR$3,FALSE),"")</f>
        <v>庵</v>
      </c>
      <c r="AS90" s="23" t="str">
        <f>IFERROR(HLOOKUP(E90,[19]明!$D$1:$AH$4,AS$3,FALSE),"")</f>
        <v>佐藤恵</v>
      </c>
      <c r="AT90" s="29" t="str">
        <f>IFERROR(HLOOKUP($D90,[19]●!$D$1:$AH$10,AT$3,FALSE),"")</f>
        <v>長田</v>
      </c>
      <c r="AU90" s="29" t="str">
        <f>IFERROR(HLOOKUP($D90,[19]●!$D$1:$AH$10,AU$3,FALSE),"")</f>
        <v>平田真</v>
      </c>
      <c r="AV90" s="29" t="str">
        <f>IFERROR(HLOOKUP($D90,[19]●!$D$1:$AH$10,AV$3,FALSE),"")</f>
        <v/>
      </c>
      <c r="AW90" s="29" t="str">
        <f>IFERROR(HLOOKUP($D90,[19]●!$D$1:$AH$10,AW$3,FALSE),"")</f>
        <v/>
      </c>
      <c r="AX90" s="29" t="str">
        <f>IFERROR(HLOOKUP($D90,[19]●!$D$1:$AH$10,AX$3,FALSE),"")</f>
        <v/>
      </c>
      <c r="AY90" s="29" t="str">
        <f>IFERROR(HLOOKUP($D90,[19]●!$D$1:$AH$10,AY$3,FALSE),"")</f>
        <v/>
      </c>
    </row>
    <row r="91" spans="1:51" ht="13.9" customHeight="1" x14ac:dyDescent="0.15">
      <c r="A91" s="10">
        <v>2021</v>
      </c>
      <c r="B91" s="10">
        <v>6</v>
      </c>
      <c r="C91" s="67">
        <f t="shared" si="51"/>
        <v>44348</v>
      </c>
      <c r="D91" s="36">
        <f t="shared" si="48"/>
        <v>44356</v>
      </c>
      <c r="E91" s="37">
        <f t="shared" si="52"/>
        <v>44356</v>
      </c>
      <c r="F91" s="14" t="str">
        <f t="shared" si="53"/>
        <v>薬司 康平</v>
      </c>
      <c r="H91" s="72"/>
      <c r="I91" s="81"/>
      <c r="J91" s="81"/>
      <c r="K91" s="81"/>
      <c r="L91" s="81"/>
      <c r="M91" s="81"/>
      <c r="N91" s="81"/>
      <c r="O91" s="115"/>
      <c r="P91" s="115"/>
      <c r="Q91" s="115"/>
      <c r="R91" s="115"/>
      <c r="S91" s="81"/>
      <c r="T91" s="81"/>
      <c r="U91" s="81"/>
      <c r="V91" s="81"/>
      <c r="W91" s="81"/>
      <c r="X91" s="115"/>
      <c r="Y91" s="81"/>
      <c r="Z91" s="81"/>
      <c r="AA91" s="81"/>
      <c r="AB91" s="81"/>
      <c r="AC91" s="81"/>
      <c r="AD91" s="81"/>
      <c r="AE91" s="81"/>
      <c r="AF91" s="81"/>
      <c r="AG91" s="81">
        <v>1</v>
      </c>
      <c r="AH91" s="81"/>
      <c r="AI91" s="81"/>
      <c r="AJ91" s="89"/>
      <c r="AK91" s="89"/>
      <c r="AL91" s="89"/>
      <c r="AM91" s="65"/>
      <c r="AN91" s="66"/>
      <c r="AR91" s="69" t="str">
        <f>IFERROR(HLOOKUP(D91,[20]明!$D$1:$AH$4,AR$3,FALSE),"")</f>
        <v>加藤</v>
      </c>
      <c r="AS91" s="23" t="str">
        <f>IFERROR(HLOOKUP(E91,[20]明!$D$1:$AH$4,AS$3,FALSE),"")</f>
        <v>薬司</v>
      </c>
      <c r="AT91" s="29" t="str">
        <f>IFERROR(HLOOKUP($D91,[20]●!$D$1:$AH$10,AT$3,FALSE),"")</f>
        <v>佐藤穂</v>
      </c>
      <c r="AU91" s="29" t="str">
        <f>IFERROR(HLOOKUP($D91,[20]●!$D$1:$AH$10,AU$3,FALSE),"")</f>
        <v/>
      </c>
      <c r="AV91" s="29" t="str">
        <f>IFERROR(HLOOKUP($D91,[20]●!$D$1:$AH$10,AV$3,FALSE),"")</f>
        <v/>
      </c>
      <c r="AW91" s="29" t="str">
        <f>IFERROR(HLOOKUP($D91,[20]●!$D$1:$AH$10,AW$3,FALSE),"")</f>
        <v/>
      </c>
      <c r="AX91" s="29" t="str">
        <f>IFERROR(HLOOKUP($D91,[20]●!$D$1:$AH$10,AX$3,FALSE),"")</f>
        <v/>
      </c>
      <c r="AY91" s="29" t="str">
        <f>IFERROR(HLOOKUP($D91,[20]●!$D$1:$AH$10,AY$3,FALSE),"")</f>
        <v/>
      </c>
    </row>
    <row r="92" spans="1:51" ht="13.9" customHeight="1" x14ac:dyDescent="0.15">
      <c r="A92" s="10">
        <v>2021</v>
      </c>
      <c r="B92" s="10">
        <v>6</v>
      </c>
      <c r="C92" s="67">
        <f t="shared" si="51"/>
        <v>44348</v>
      </c>
      <c r="D92" s="38">
        <f t="shared" si="49"/>
        <v>44362</v>
      </c>
      <c r="E92" s="37">
        <f t="shared" ref="E92:E94" si="54">D92</f>
        <v>44362</v>
      </c>
      <c r="F92" s="14" t="str">
        <f t="shared" ref="F92:F94" si="55">IFERROR(INDEX($H$1:$AN$1,1,MATCH(1,H92:AN92)),"")</f>
        <v>別所　貴仁</v>
      </c>
      <c r="H92" s="72"/>
      <c r="I92" s="81"/>
      <c r="J92" s="81"/>
      <c r="K92" s="81"/>
      <c r="L92" s="81"/>
      <c r="M92" s="81"/>
      <c r="N92" s="81">
        <v>1</v>
      </c>
      <c r="O92" s="115"/>
      <c r="P92" s="115"/>
      <c r="Q92" s="115"/>
      <c r="R92" s="115"/>
      <c r="S92" s="81"/>
      <c r="T92" s="81"/>
      <c r="U92" s="81"/>
      <c r="V92" s="81"/>
      <c r="W92" s="81"/>
      <c r="X92" s="115"/>
      <c r="Y92" s="81"/>
      <c r="Z92" s="81"/>
      <c r="AA92" s="81"/>
      <c r="AB92" s="81"/>
      <c r="AC92" s="81"/>
      <c r="AD92" s="81"/>
      <c r="AE92" s="81"/>
      <c r="AF92" s="81"/>
      <c r="AG92" s="81"/>
      <c r="AH92" s="81"/>
      <c r="AI92" s="81"/>
      <c r="AJ92" s="89"/>
      <c r="AK92" s="89"/>
      <c r="AL92" s="89"/>
      <c r="AM92" s="65"/>
      <c r="AN92" s="66"/>
      <c r="AR92" s="69" t="str">
        <f>IFERROR(HLOOKUP(D92,[20]明!$D$1:$AH$4,AR$3,FALSE),"")</f>
        <v>南</v>
      </c>
      <c r="AS92" s="23" t="str">
        <f>IFERROR(HLOOKUP(E92,[20]明!$D$1:$AH$4,AS$3,FALSE),"")</f>
        <v>西郡</v>
      </c>
      <c r="AT92" s="29" t="str">
        <f>IFERROR(HLOOKUP($D92,[20]●!$D$1:$AH$10,AT$3,FALSE),"")</f>
        <v>清水</v>
      </c>
      <c r="AU92" s="29" t="str">
        <f>IFERROR(HLOOKUP($D92,[20]●!$D$1:$AH$10,AU$3,FALSE),"")</f>
        <v>龍野</v>
      </c>
      <c r="AV92" s="29" t="str">
        <f>IFERROR(HLOOKUP($D92,[20]●!$D$1:$AH$10,AV$3,FALSE),"")</f>
        <v/>
      </c>
      <c r="AW92" s="29" t="str">
        <f>IFERROR(HLOOKUP($D92,[20]●!$D$1:$AH$10,AW$3,FALSE),"")</f>
        <v/>
      </c>
      <c r="AX92" s="29" t="str">
        <f>IFERROR(HLOOKUP($D92,[20]●!$D$1:$AH$10,AX$3,FALSE),"")</f>
        <v/>
      </c>
      <c r="AY92" s="29" t="str">
        <f>IFERROR(HLOOKUP($D92,[20]●!$D$1:$AH$10,AY$3,FALSE),"")</f>
        <v/>
      </c>
    </row>
    <row r="93" spans="1:51" ht="13.9" customHeight="1" x14ac:dyDescent="0.15">
      <c r="A93" s="10">
        <v>2021</v>
      </c>
      <c r="B93" s="10">
        <v>6</v>
      </c>
      <c r="C93" s="67">
        <f t="shared" si="51"/>
        <v>44348</v>
      </c>
      <c r="D93" s="36">
        <f t="shared" si="50"/>
        <v>44370</v>
      </c>
      <c r="E93" s="37">
        <f t="shared" si="54"/>
        <v>44370</v>
      </c>
      <c r="F93" s="14" t="str">
        <f t="shared" si="55"/>
        <v>西郡　健太</v>
      </c>
      <c r="H93" s="72"/>
      <c r="I93" s="81"/>
      <c r="J93" s="81"/>
      <c r="K93" s="81"/>
      <c r="L93" s="81"/>
      <c r="M93" s="81"/>
      <c r="N93" s="81"/>
      <c r="O93" s="115"/>
      <c r="P93" s="115"/>
      <c r="Q93" s="115"/>
      <c r="R93" s="115"/>
      <c r="S93" s="81"/>
      <c r="T93" s="81"/>
      <c r="U93" s="81"/>
      <c r="V93" s="81"/>
      <c r="W93" s="81"/>
      <c r="X93" s="115"/>
      <c r="Y93" s="81"/>
      <c r="Z93" s="81"/>
      <c r="AA93" s="81"/>
      <c r="AB93" s="81"/>
      <c r="AC93" s="81"/>
      <c r="AD93" s="81"/>
      <c r="AE93" s="81"/>
      <c r="AF93" s="81"/>
      <c r="AG93" s="81"/>
      <c r="AH93" s="81"/>
      <c r="AI93" s="81">
        <v>1</v>
      </c>
      <c r="AJ93" s="89"/>
      <c r="AK93" s="89"/>
      <c r="AL93" s="89"/>
      <c r="AM93" s="65"/>
      <c r="AN93" s="66"/>
      <c r="AR93" s="69" t="str">
        <f>IFERROR(HLOOKUP(D93,[20]明!$D$1:$AH$4,AR$3,FALSE),"")</f>
        <v>薬司</v>
      </c>
      <c r="AS93" s="23" t="str">
        <f>IFERROR(HLOOKUP(E93,[20]明!$D$1:$AH$4,AS$3,FALSE),"")</f>
        <v>西郡</v>
      </c>
      <c r="AT93" s="29" t="str">
        <f>IFERROR(HLOOKUP($D93,[20]●!$D$1:$AH$10,AT$3,FALSE),"")</f>
        <v>本田</v>
      </c>
      <c r="AU93" s="29" t="str">
        <f>IFERROR(HLOOKUP($D93,[20]●!$D$1:$AH$10,AU$3,FALSE),"")</f>
        <v/>
      </c>
      <c r="AV93" s="29" t="str">
        <f>IFERROR(HLOOKUP($D93,[20]●!$D$1:$AH$10,AV$3,FALSE),"")</f>
        <v/>
      </c>
      <c r="AW93" s="29" t="str">
        <f>IFERROR(HLOOKUP($D93,[20]●!$D$1:$AH$10,AW$3,FALSE),"")</f>
        <v/>
      </c>
      <c r="AX93" s="29" t="str">
        <f>IFERROR(HLOOKUP($D93,[20]●!$D$1:$AH$10,AX$3,FALSE),"")</f>
        <v/>
      </c>
      <c r="AY93" s="29" t="str">
        <f>IFERROR(HLOOKUP($D93,[20]●!$D$1:$AH$10,AY$3,FALSE),"")</f>
        <v/>
      </c>
    </row>
    <row r="94" spans="1:51" ht="13.9" customHeight="1" x14ac:dyDescent="0.15">
      <c r="A94" s="10">
        <v>2021</v>
      </c>
      <c r="B94" s="10">
        <v>7</v>
      </c>
      <c r="C94" s="67">
        <f t="shared" ref="C94:C157" si="56">DATE(A94,B94,1)</f>
        <v>44378</v>
      </c>
      <c r="D94" s="36">
        <f t="shared" si="48"/>
        <v>44391</v>
      </c>
      <c r="E94" s="37">
        <f t="shared" si="54"/>
        <v>44391</v>
      </c>
      <c r="F94" s="14" t="str">
        <f t="shared" si="55"/>
        <v>南 博之</v>
      </c>
      <c r="H94" s="72"/>
      <c r="I94" s="81"/>
      <c r="J94" s="81"/>
      <c r="K94" s="81"/>
      <c r="L94" s="81"/>
      <c r="M94" s="81"/>
      <c r="N94" s="81"/>
      <c r="O94" s="115"/>
      <c r="P94" s="115"/>
      <c r="Q94" s="115">
        <v>1</v>
      </c>
      <c r="R94" s="115"/>
      <c r="S94" s="81"/>
      <c r="T94" s="81"/>
      <c r="U94" s="81"/>
      <c r="V94" s="81"/>
      <c r="W94" s="81"/>
      <c r="X94" s="115"/>
      <c r="Y94" s="81"/>
      <c r="Z94" s="81"/>
      <c r="AA94" s="81"/>
      <c r="AB94" s="81"/>
      <c r="AC94" s="81"/>
      <c r="AD94" s="81"/>
      <c r="AE94" s="81"/>
      <c r="AF94" s="81"/>
      <c r="AG94" s="81"/>
      <c r="AH94" s="81"/>
      <c r="AI94" s="81"/>
      <c r="AJ94" s="89"/>
      <c r="AK94" s="89"/>
      <c r="AL94" s="89"/>
      <c r="AM94" s="65"/>
      <c r="AN94" s="66"/>
      <c r="AR94" s="69" t="str">
        <f>IFERROR(HLOOKUP(D94,[21]明!$D$1:$AH$4,AR$3,FALSE),"")</f>
        <v>南</v>
      </c>
      <c r="AS94" s="23" t="str">
        <f>IFERROR(HLOOKUP(E94,[21]明!$D$1:$AH$4,AS$3,FALSE),"")</f>
        <v>西郡</v>
      </c>
      <c r="AT94" s="29" t="str">
        <f>IFERROR(HLOOKUP($D94,[21]●!$D$1:$AH$10,AT$3,FALSE),"")</f>
        <v>佐藤恵</v>
      </c>
      <c r="AU94" s="29" t="str">
        <f>IFERROR(HLOOKUP($D94,[19]●!$D$1:$AH$10,AU$3,FALSE),"")</f>
        <v/>
      </c>
      <c r="AV94" s="29" t="str">
        <f>IFERROR(HLOOKUP($D94,[19]●!$D$1:$AH$10,AV$3,FALSE),"")</f>
        <v/>
      </c>
      <c r="AW94" s="29" t="str">
        <f>IFERROR(HLOOKUP($D94,[19]●!$D$1:$AH$10,AW$3,FALSE),"")</f>
        <v/>
      </c>
      <c r="AX94" s="29" t="str">
        <f>IFERROR(HLOOKUP($D94,[19]●!$D$1:$AH$10,AX$3,FALSE),"")</f>
        <v/>
      </c>
      <c r="AY94" s="29" t="str">
        <f>IFERROR(HLOOKUP($D94,[19]●!$D$1:$AH$10,AY$3,FALSE),"")</f>
        <v/>
      </c>
    </row>
    <row r="95" spans="1:51" ht="13.9" customHeight="1" x14ac:dyDescent="0.15">
      <c r="A95" s="10">
        <v>2021</v>
      </c>
      <c r="B95" s="10">
        <v>7</v>
      </c>
      <c r="C95" s="67">
        <f t="shared" si="56"/>
        <v>44378</v>
      </c>
      <c r="D95" s="38">
        <f t="shared" si="49"/>
        <v>44397</v>
      </c>
      <c r="E95" s="37">
        <f t="shared" ref="E95:E158" si="57">D95</f>
        <v>44397</v>
      </c>
      <c r="F95" s="14" t="str">
        <f t="shared" ref="F95:F158" si="58">IFERROR(INDEX($H$1:$AN$1,1,MATCH(1,H95:AN95)),"")</f>
        <v>山本 浩之</v>
      </c>
      <c r="H95" s="72"/>
      <c r="I95" s="81"/>
      <c r="J95" s="81"/>
      <c r="K95" s="81"/>
      <c r="L95" s="81"/>
      <c r="M95" s="81"/>
      <c r="N95" s="81"/>
      <c r="O95" s="115"/>
      <c r="P95" s="115">
        <v>1</v>
      </c>
      <c r="Q95" s="115"/>
      <c r="R95" s="115"/>
      <c r="S95" s="81"/>
      <c r="T95" s="81"/>
      <c r="U95" s="81"/>
      <c r="V95" s="81"/>
      <c r="W95" s="81"/>
      <c r="X95" s="115"/>
      <c r="Y95" s="81"/>
      <c r="Z95" s="81"/>
      <c r="AA95" s="81"/>
      <c r="AB95" s="81"/>
      <c r="AC95" s="81"/>
      <c r="AD95" s="81"/>
      <c r="AE95" s="81"/>
      <c r="AF95" s="81"/>
      <c r="AG95" s="81"/>
      <c r="AH95" s="81"/>
      <c r="AI95" s="81"/>
      <c r="AJ95" s="89"/>
      <c r="AK95" s="89"/>
      <c r="AL95" s="89"/>
      <c r="AM95" s="65"/>
      <c r="AN95" s="66"/>
      <c r="AR95" s="69" t="str">
        <f>IFERROR(HLOOKUP(D95,[21]明!$D$1:$AH$4,AR$3,FALSE),"")</f>
        <v>山本</v>
      </c>
      <c r="AS95" s="23" t="str">
        <f>IFERROR(HLOOKUP(E95,[21]明!$D$1:$AH$4,AS$3,FALSE),"")</f>
        <v>松木</v>
      </c>
      <c r="AT95" s="29" t="str">
        <f>IFERROR(HLOOKUP($D95,[21]●!$D$1:$AH$10,AT$3,FALSE),"")</f>
        <v>西郡</v>
      </c>
      <c r="AU95" s="29" t="str">
        <f>IFERROR(HLOOKUP($D95,[19]●!$D$1:$AH$10,AU$3,FALSE),"")</f>
        <v/>
      </c>
      <c r="AV95" s="29" t="str">
        <f>IFERROR(HLOOKUP($D95,[19]●!$D$1:$AH$10,AV$3,FALSE),"")</f>
        <v/>
      </c>
      <c r="AW95" s="29" t="str">
        <f>IFERROR(HLOOKUP($D95,[19]●!$D$1:$AH$10,AW$3,FALSE),"")</f>
        <v/>
      </c>
      <c r="AX95" s="29" t="str">
        <f>IFERROR(HLOOKUP($D95,[19]●!$D$1:$AH$10,AX$3,FALSE),"")</f>
        <v/>
      </c>
      <c r="AY95" s="29" t="str">
        <f>IFERROR(HLOOKUP($D95,[19]●!$D$1:$AH$10,AY$3,FALSE),"")</f>
        <v/>
      </c>
    </row>
    <row r="96" spans="1:51" ht="13.9" customHeight="1" x14ac:dyDescent="0.15">
      <c r="A96" s="10">
        <v>2021</v>
      </c>
      <c r="B96" s="10">
        <v>7</v>
      </c>
      <c r="C96" s="67">
        <f t="shared" si="56"/>
        <v>44378</v>
      </c>
      <c r="D96" s="36">
        <f t="shared" si="50"/>
        <v>44405</v>
      </c>
      <c r="E96" s="37">
        <f t="shared" si="57"/>
        <v>44405</v>
      </c>
      <c r="F96" s="14" t="str">
        <f t="shared" si="58"/>
        <v>長田 弘二</v>
      </c>
      <c r="H96" s="72"/>
      <c r="I96" s="81"/>
      <c r="J96" s="81"/>
      <c r="K96" s="81"/>
      <c r="L96" s="81"/>
      <c r="M96" s="81"/>
      <c r="N96" s="81"/>
      <c r="O96" s="115"/>
      <c r="P96" s="115"/>
      <c r="Q96" s="115"/>
      <c r="R96" s="115"/>
      <c r="S96" s="81"/>
      <c r="T96" s="81"/>
      <c r="U96" s="81"/>
      <c r="V96" s="81">
        <v>1</v>
      </c>
      <c r="W96" s="81"/>
      <c r="X96" s="115"/>
      <c r="Y96" s="81"/>
      <c r="Z96" s="81"/>
      <c r="AA96" s="81"/>
      <c r="AB96" s="81"/>
      <c r="AC96" s="81"/>
      <c r="AD96" s="81"/>
      <c r="AE96" s="81"/>
      <c r="AF96" s="81"/>
      <c r="AG96" s="81"/>
      <c r="AH96" s="81"/>
      <c r="AI96" s="81"/>
      <c r="AJ96" s="89"/>
      <c r="AK96" s="89"/>
      <c r="AL96" s="89"/>
      <c r="AM96" s="65"/>
      <c r="AN96" s="66"/>
      <c r="AR96" s="69" t="str">
        <f>IFERROR(HLOOKUP(D96,[21]明!$D$1:$AH$4,AR$3,FALSE),"")</f>
        <v>山村</v>
      </c>
      <c r="AS96" s="23" t="str">
        <f>IFERROR(HLOOKUP(E96,[21]明!$D$1:$AH$4,AS$3,FALSE),"")</f>
        <v>長田</v>
      </c>
      <c r="AT96" s="29" t="str">
        <f>IFERROR(HLOOKUP($D96,[21]●!$D$1:$AH$10,AT$3,FALSE),"")</f>
        <v>平田真</v>
      </c>
      <c r="AU96" s="29" t="str">
        <f>IFERROR(HLOOKUP($D96,[19]●!$D$1:$AH$10,AU$3,FALSE),"")</f>
        <v/>
      </c>
      <c r="AV96" s="29" t="str">
        <f>IFERROR(HLOOKUP($D96,[19]●!$D$1:$AH$10,AV$3,FALSE),"")</f>
        <v/>
      </c>
      <c r="AW96" s="29" t="str">
        <f>IFERROR(HLOOKUP($D96,[19]●!$D$1:$AH$10,AW$3,FALSE),"")</f>
        <v/>
      </c>
      <c r="AX96" s="29" t="str">
        <f>IFERROR(HLOOKUP($D96,[19]●!$D$1:$AH$10,AX$3,FALSE),"")</f>
        <v/>
      </c>
      <c r="AY96" s="29" t="str">
        <f>IFERROR(HLOOKUP($D96,[19]●!$D$1:$AH$10,AY$3,FALSE),"")</f>
        <v/>
      </c>
    </row>
    <row r="97" spans="1:51" ht="13.9" customHeight="1" x14ac:dyDescent="0.15">
      <c r="A97" s="10">
        <v>2021</v>
      </c>
      <c r="B97" s="10">
        <v>8</v>
      </c>
      <c r="C97" s="67">
        <f t="shared" si="56"/>
        <v>44409</v>
      </c>
      <c r="D97" s="36">
        <f t="shared" si="48"/>
        <v>44419</v>
      </c>
      <c r="E97" s="37">
        <f t="shared" si="57"/>
        <v>44419</v>
      </c>
      <c r="F97" s="14" t="str">
        <f t="shared" si="58"/>
        <v>庵　緋沙子</v>
      </c>
      <c r="H97" s="72"/>
      <c r="I97" s="81"/>
      <c r="J97" s="81"/>
      <c r="K97" s="81"/>
      <c r="L97" s="81"/>
      <c r="M97" s="81"/>
      <c r="N97" s="81"/>
      <c r="O97" s="115"/>
      <c r="P97" s="115"/>
      <c r="Q97" s="115"/>
      <c r="R97" s="115"/>
      <c r="S97" s="81"/>
      <c r="T97" s="81"/>
      <c r="U97" s="81"/>
      <c r="V97" s="81"/>
      <c r="W97" s="81"/>
      <c r="X97" s="115"/>
      <c r="Y97" s="81"/>
      <c r="Z97" s="81"/>
      <c r="AA97" s="81"/>
      <c r="AB97" s="81"/>
      <c r="AC97" s="81"/>
      <c r="AD97" s="81"/>
      <c r="AE97" s="81"/>
      <c r="AF97" s="81"/>
      <c r="AG97" s="81"/>
      <c r="AH97" s="81"/>
      <c r="AI97" s="81"/>
      <c r="AJ97" s="89"/>
      <c r="AK97" s="89"/>
      <c r="AL97" s="89">
        <v>1</v>
      </c>
      <c r="AM97" s="65"/>
      <c r="AN97" s="66"/>
      <c r="AR97" s="69" t="str">
        <f>IFERROR(HLOOKUP(D97,[22]明!$D$1:$AH$4,AR$3,FALSE),"")</f>
        <v>佐藤恵</v>
      </c>
      <c r="AS97" s="23" t="str">
        <f>IFERROR(HLOOKUP(E97,[22]明!$D$1:$AH$4,AS$3,FALSE),"")</f>
        <v>松木</v>
      </c>
      <c r="AT97" s="29" t="str">
        <f>IFERROR(HLOOKUP($D97,[22]●!$D$1:$AH$10,AT$3,FALSE),"")</f>
        <v>山本</v>
      </c>
      <c r="AU97" s="29" t="str">
        <f>IFERROR(HLOOKUP($D97,[22]●!$D$1:$AH$10,AU$3,FALSE),"")</f>
        <v>加藤</v>
      </c>
      <c r="AV97" s="29" t="str">
        <f>IFERROR(HLOOKUP($D97,[22]●!$D$1:$AH$10,AV$3,FALSE),"")</f>
        <v/>
      </c>
      <c r="AW97" s="29" t="str">
        <f>IFERROR(HLOOKUP($D97,[22]●!$D$1:$AH$10,AW$3,FALSE),"")</f>
        <v/>
      </c>
      <c r="AX97" s="29" t="str">
        <f>IFERROR(HLOOKUP($D97,[22]●!$D$1:$AH$10,AX$3,FALSE),"")</f>
        <v/>
      </c>
      <c r="AY97" s="29" t="str">
        <f>IFERROR(HLOOKUP($D97,[22]●!$D$1:$AH$10,AY$3,FALSE),"")</f>
        <v/>
      </c>
    </row>
    <row r="98" spans="1:51" ht="13.9" customHeight="1" x14ac:dyDescent="0.15">
      <c r="A98" s="10">
        <v>2021</v>
      </c>
      <c r="B98" s="10">
        <v>8</v>
      </c>
      <c r="C98" s="67">
        <f t="shared" si="56"/>
        <v>44409</v>
      </c>
      <c r="D98" s="38">
        <f t="shared" si="49"/>
        <v>44425</v>
      </c>
      <c r="E98" s="37">
        <f t="shared" si="57"/>
        <v>44425</v>
      </c>
      <c r="F98" s="14" t="str">
        <f t="shared" si="58"/>
        <v>平田 恵哉</v>
      </c>
      <c r="H98" s="72"/>
      <c r="I98" s="81"/>
      <c r="J98" s="81"/>
      <c r="K98" s="81"/>
      <c r="L98" s="81"/>
      <c r="M98" s="81"/>
      <c r="N98" s="81"/>
      <c r="O98" s="115"/>
      <c r="P98" s="115"/>
      <c r="Q98" s="115"/>
      <c r="R98" s="115"/>
      <c r="S98" s="81"/>
      <c r="T98" s="81"/>
      <c r="U98" s="81">
        <v>1</v>
      </c>
      <c r="V98" s="81"/>
      <c r="W98" s="81"/>
      <c r="X98" s="115"/>
      <c r="Y98" s="81"/>
      <c r="Z98" s="81"/>
      <c r="AA98" s="81"/>
      <c r="AB98" s="81"/>
      <c r="AC98" s="81"/>
      <c r="AD98" s="81"/>
      <c r="AE98" s="81"/>
      <c r="AF98" s="81"/>
      <c r="AG98" s="81"/>
      <c r="AH98" s="81"/>
      <c r="AI98" s="81"/>
      <c r="AJ98" s="89"/>
      <c r="AK98" s="89"/>
      <c r="AL98" s="89"/>
      <c r="AM98" s="65"/>
      <c r="AN98" s="66"/>
      <c r="AR98" s="69" t="str">
        <f>IFERROR(HLOOKUP(D98,[22]明!$D$1:$AH$4,AR$3,FALSE),"")</f>
        <v>平田恵</v>
      </c>
      <c r="AS98" s="23" t="str">
        <f>IFERROR(HLOOKUP(E98,[22]明!$D$1:$AH$4,AS$3,FALSE),"")</f>
        <v>長田</v>
      </c>
      <c r="AT98" s="29" t="str">
        <f>IFERROR(HLOOKUP($D98,[22]●!$D$1:$AH$10,AT$3,FALSE),"")</f>
        <v>澤野</v>
      </c>
      <c r="AU98" s="29" t="str">
        <f>IFERROR(HLOOKUP($D98,[22]●!$D$1:$AH$10,AU$3,FALSE),"")</f>
        <v>清水</v>
      </c>
      <c r="AV98" s="29" t="str">
        <f>IFERROR(HLOOKUP($D98,[22]●!$D$1:$AH$10,AV$3,FALSE),"")</f>
        <v/>
      </c>
      <c r="AW98" s="29" t="str">
        <f>IFERROR(HLOOKUP($D98,[22]●!$D$1:$AH$10,AW$3,FALSE),"")</f>
        <v/>
      </c>
      <c r="AX98" s="29" t="str">
        <f>IFERROR(HLOOKUP($D98,[22]●!$D$1:$AH$10,AX$3,FALSE),"")</f>
        <v/>
      </c>
      <c r="AY98" s="29" t="str">
        <f>IFERROR(HLOOKUP($D98,[22]●!$D$1:$AH$10,AY$3,FALSE),"")</f>
        <v/>
      </c>
    </row>
    <row r="99" spans="1:51" ht="13.9" customHeight="1" x14ac:dyDescent="0.15">
      <c r="A99" s="10">
        <v>2021</v>
      </c>
      <c r="B99" s="10">
        <v>8</v>
      </c>
      <c r="C99" s="67">
        <f t="shared" si="56"/>
        <v>44409</v>
      </c>
      <c r="D99" s="36">
        <f t="shared" si="50"/>
        <v>44433</v>
      </c>
      <c r="E99" s="37">
        <f t="shared" si="57"/>
        <v>44433</v>
      </c>
      <c r="F99" s="14" t="str">
        <f t="shared" si="58"/>
        <v>諸田　悠也</v>
      </c>
      <c r="H99" s="72"/>
      <c r="I99" s="81"/>
      <c r="J99" s="81"/>
      <c r="K99" s="81"/>
      <c r="L99" s="81"/>
      <c r="M99" s="81"/>
      <c r="N99" s="81"/>
      <c r="O99" s="115"/>
      <c r="P99" s="115"/>
      <c r="Q99" s="115"/>
      <c r="R99" s="115"/>
      <c r="S99" s="81"/>
      <c r="T99" s="81"/>
      <c r="U99" s="81"/>
      <c r="V99" s="81"/>
      <c r="W99" s="81"/>
      <c r="X99" s="115"/>
      <c r="Y99" s="81"/>
      <c r="Z99" s="81"/>
      <c r="AA99" s="81"/>
      <c r="AB99" s="81"/>
      <c r="AC99" s="81"/>
      <c r="AD99" s="81"/>
      <c r="AE99" s="81"/>
      <c r="AF99" s="81"/>
      <c r="AG99" s="81"/>
      <c r="AH99" s="81"/>
      <c r="AI99" s="81"/>
      <c r="AJ99" s="89"/>
      <c r="AK99" s="89">
        <v>1</v>
      </c>
      <c r="AL99" s="89"/>
      <c r="AM99" s="65"/>
      <c r="AN99" s="66"/>
      <c r="AR99" s="69" t="str">
        <f>IFERROR(HLOOKUP(D99,[22]明!$D$1:$AH$4,AR$3,FALSE),"")</f>
        <v>加藤</v>
      </c>
      <c r="AS99" s="23" t="str">
        <f>IFERROR(HLOOKUP(E99,[22]明!$D$1:$AH$4,AS$3,FALSE),"")</f>
        <v>諸田</v>
      </c>
      <c r="AT99" s="29" t="str">
        <f>IFERROR(HLOOKUP($D99,[22]●!$D$1:$AH$10,AT$3,FALSE),"")</f>
        <v>南</v>
      </c>
      <c r="AU99" s="29" t="str">
        <f>IFERROR(HLOOKUP($D99,[22]●!$D$1:$AH$10,AU$3,FALSE),"")</f>
        <v>齊藤</v>
      </c>
      <c r="AV99" s="29" t="str">
        <f>IFERROR(HLOOKUP($D99,[22]●!$D$1:$AH$10,AV$3,FALSE),"")</f>
        <v/>
      </c>
      <c r="AW99" s="29" t="str">
        <f>IFERROR(HLOOKUP($D99,[22]●!$D$1:$AH$10,AW$3,FALSE),"")</f>
        <v/>
      </c>
      <c r="AX99" s="29" t="str">
        <f>IFERROR(HLOOKUP($D99,[22]●!$D$1:$AH$10,AX$3,FALSE),"")</f>
        <v/>
      </c>
      <c r="AY99" s="29" t="str">
        <f>IFERROR(HLOOKUP($D99,[22]●!$D$1:$AH$10,AY$3,FALSE),"")</f>
        <v/>
      </c>
    </row>
    <row r="100" spans="1:51" ht="13.9" customHeight="1" x14ac:dyDescent="0.15">
      <c r="A100" s="10">
        <v>2021</v>
      </c>
      <c r="B100" s="10">
        <v>9</v>
      </c>
      <c r="C100" s="67">
        <f t="shared" si="56"/>
        <v>44440</v>
      </c>
      <c r="D100" s="36">
        <f t="shared" si="48"/>
        <v>44447</v>
      </c>
      <c r="E100" s="37">
        <f t="shared" si="57"/>
        <v>44447</v>
      </c>
      <c r="F100" s="14" t="str">
        <f t="shared" si="58"/>
        <v>小川 穂波</v>
      </c>
      <c r="H100" s="72"/>
      <c r="I100" s="81"/>
      <c r="J100" s="81"/>
      <c r="K100" s="81"/>
      <c r="L100" s="81"/>
      <c r="M100" s="81"/>
      <c r="N100" s="81"/>
      <c r="O100" s="115"/>
      <c r="P100" s="115"/>
      <c r="Q100" s="115"/>
      <c r="R100" s="115"/>
      <c r="S100" s="81"/>
      <c r="T100" s="81"/>
      <c r="U100" s="81"/>
      <c r="V100" s="81"/>
      <c r="W100" s="81"/>
      <c r="X100" s="115"/>
      <c r="Y100" s="81"/>
      <c r="Z100" s="81"/>
      <c r="AA100" s="81"/>
      <c r="AB100" s="81"/>
      <c r="AC100" s="81"/>
      <c r="AD100" s="81"/>
      <c r="AE100" s="81"/>
      <c r="AF100" s="81"/>
      <c r="AG100" s="81"/>
      <c r="AH100" s="81">
        <v>1</v>
      </c>
      <c r="AI100" s="81"/>
      <c r="AJ100" s="89"/>
      <c r="AK100" s="89"/>
      <c r="AL100" s="89"/>
      <c r="AM100" s="65"/>
      <c r="AN100" s="66"/>
      <c r="AR100" s="69" t="str">
        <f>IFERROR(HLOOKUP(D100,[23]明!$D$1:$AH$4,AR$3,FALSE),"")</f>
        <v>南</v>
      </c>
      <c r="AS100" s="69" t="str">
        <f>IFERROR(HLOOKUP(E100,[23]明!$D$1:$AH$4,AS$3,FALSE),"")</f>
        <v>佐藤穂</v>
      </c>
      <c r="AT100" s="29" t="str">
        <f>IFERROR(HLOOKUP($D100,[23]●!$D$1:$AH$10,AT$3,FALSE),"")</f>
        <v>加藤</v>
      </c>
      <c r="AU100" s="29" t="str">
        <f>IFERROR(HLOOKUP($D100,[23]●!$D$1:$AH$10,AU$3,FALSE),"")</f>
        <v/>
      </c>
      <c r="AV100" s="29" t="str">
        <f>IFERROR(HLOOKUP($D100,[23]●!$D$1:$AH$10,AV$3,FALSE),"")</f>
        <v/>
      </c>
      <c r="AW100" s="29" t="str">
        <f>IFERROR(HLOOKUP($D100,[23]●!$D$1:$AH$10,AW$3,FALSE),"")</f>
        <v/>
      </c>
      <c r="AX100" s="29" t="str">
        <f>IFERROR(HLOOKUP($D100,[23]●!$D$1:$AH$10,AX$3,FALSE),"")</f>
        <v/>
      </c>
      <c r="AY100" s="29" t="str">
        <f>IFERROR(HLOOKUP($D100,[23]●!$D$1:$AH$10,AY$3,FALSE),"")</f>
        <v/>
      </c>
    </row>
    <row r="101" spans="1:51" ht="13.9" customHeight="1" x14ac:dyDescent="0.15">
      <c r="A101" s="10">
        <v>2021</v>
      </c>
      <c r="B101" s="10">
        <v>9</v>
      </c>
      <c r="C101" s="67">
        <f t="shared" si="56"/>
        <v>44440</v>
      </c>
      <c r="D101" s="38">
        <f t="shared" si="49"/>
        <v>44460</v>
      </c>
      <c r="E101" s="37">
        <f t="shared" si="57"/>
        <v>44460</v>
      </c>
      <c r="F101" s="14" t="str">
        <f t="shared" si="58"/>
        <v>片岡 恵梨子</v>
      </c>
      <c r="H101" s="72"/>
      <c r="I101" s="81"/>
      <c r="J101" s="81"/>
      <c r="K101" s="81"/>
      <c r="L101" s="81"/>
      <c r="M101" s="81"/>
      <c r="N101" s="81"/>
      <c r="O101" s="115"/>
      <c r="P101" s="115"/>
      <c r="Q101" s="115"/>
      <c r="R101" s="115"/>
      <c r="S101" s="81"/>
      <c r="T101" s="81"/>
      <c r="U101" s="81"/>
      <c r="V101" s="81"/>
      <c r="W101" s="81"/>
      <c r="X101" s="115"/>
      <c r="Y101" s="81"/>
      <c r="Z101" s="81"/>
      <c r="AA101" s="81"/>
      <c r="AB101" s="81"/>
      <c r="AC101" s="81">
        <v>1</v>
      </c>
      <c r="AD101" s="81"/>
      <c r="AE101" s="81"/>
      <c r="AF101" s="81"/>
      <c r="AG101" s="81"/>
      <c r="AH101" s="81"/>
      <c r="AI101" s="81"/>
      <c r="AJ101" s="89"/>
      <c r="AK101" s="89"/>
      <c r="AL101" s="89"/>
      <c r="AM101" s="65"/>
      <c r="AN101" s="66"/>
      <c r="AR101" s="69" t="str">
        <f>IFERROR(HLOOKUP(D101,[23]明!$D$1:$AH$4,AR$3,FALSE),"")</f>
        <v>佐藤恵</v>
      </c>
      <c r="AS101" s="69" t="str">
        <f>IFERROR(HLOOKUP(E101,[23]明!$D$1:$AH$4,AS$3,FALSE),"")</f>
        <v>薬司</v>
      </c>
      <c r="AT101" s="29" t="str">
        <f>IFERROR(HLOOKUP($D101,[23]●!$D$1:$AH$10,AT$3,FALSE),"")</f>
        <v>澤野</v>
      </c>
      <c r="AU101" s="29" t="str">
        <f>IFERROR(HLOOKUP($D101,[23]●!$D$1:$AH$10,AU$3,FALSE),"")</f>
        <v>加藤</v>
      </c>
      <c r="AV101" s="29" t="str">
        <f>IFERROR(HLOOKUP($D101,[23]●!$D$1:$AH$10,AV$3,FALSE),"")</f>
        <v/>
      </c>
      <c r="AW101" s="29" t="str">
        <f>IFERROR(HLOOKUP($D101,[23]●!$D$1:$AH$10,AW$3,FALSE),"")</f>
        <v/>
      </c>
      <c r="AX101" s="29" t="str">
        <f>IFERROR(HLOOKUP($D101,[23]●!$D$1:$AH$10,AX$3,FALSE),"")</f>
        <v/>
      </c>
      <c r="AY101" s="29" t="str">
        <f>IFERROR(HLOOKUP($D101,[23]●!$D$1:$AH$10,AY$3,FALSE),"")</f>
        <v/>
      </c>
    </row>
    <row r="102" spans="1:51" ht="13.9" customHeight="1" x14ac:dyDescent="0.15">
      <c r="A102" s="10">
        <v>2021</v>
      </c>
      <c r="B102" s="10">
        <v>9</v>
      </c>
      <c r="C102" s="67">
        <f t="shared" si="56"/>
        <v>44440</v>
      </c>
      <c r="D102" s="36">
        <f t="shared" si="50"/>
        <v>44461</v>
      </c>
      <c r="E102" s="37">
        <f t="shared" si="57"/>
        <v>44461</v>
      </c>
      <c r="F102" s="14" t="str">
        <f t="shared" si="58"/>
        <v>大橋 効</v>
      </c>
      <c r="H102" s="72"/>
      <c r="I102" s="81"/>
      <c r="J102" s="81"/>
      <c r="K102" s="81"/>
      <c r="L102" s="81"/>
      <c r="M102" s="81"/>
      <c r="N102" s="81"/>
      <c r="O102" s="115">
        <v>1</v>
      </c>
      <c r="P102" s="115"/>
      <c r="Q102" s="115"/>
      <c r="R102" s="115"/>
      <c r="S102" s="81"/>
      <c r="T102" s="81"/>
      <c r="U102" s="81"/>
      <c r="V102" s="81"/>
      <c r="W102" s="81"/>
      <c r="X102" s="115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9"/>
      <c r="AK102" s="89"/>
      <c r="AL102" s="89"/>
      <c r="AM102" s="65"/>
      <c r="AN102" s="66"/>
      <c r="AR102" s="69" t="str">
        <f>IFERROR(HLOOKUP(D102,[23]明!$D$1:$AH$4,AR$3,FALSE),"")</f>
        <v>大橋</v>
      </c>
      <c r="AS102" s="69" t="str">
        <f>IFERROR(HLOOKUP(E102,[23]明!$D$1:$AH$4,AS$3,FALSE),"")</f>
        <v>庵</v>
      </c>
      <c r="AT102" s="29" t="str">
        <f>IFERROR(HLOOKUP($D102,[23]●!$D$1:$AH$10,AT$3,FALSE),"")</f>
        <v>佐藤恵</v>
      </c>
      <c r="AU102" s="29" t="str">
        <f>IFERROR(HLOOKUP($D102,[23]●!$D$1:$AH$10,AU$3,FALSE),"")</f>
        <v>薬司</v>
      </c>
      <c r="AV102" s="29" t="str">
        <f>IFERROR(HLOOKUP($D102,[23]●!$D$1:$AH$10,AV$3,FALSE),"")</f>
        <v>龍野</v>
      </c>
      <c r="AW102" s="29" t="str">
        <f>IFERROR(HLOOKUP($D102,[23]●!$D$1:$AH$10,AW$3,FALSE),"")</f>
        <v/>
      </c>
      <c r="AX102" s="29" t="str">
        <f>IFERROR(HLOOKUP($D102,[23]●!$D$1:$AH$10,AX$3,FALSE),"")</f>
        <v/>
      </c>
      <c r="AY102" s="29" t="str">
        <f>IFERROR(HLOOKUP($D102,[23]●!$D$1:$AH$10,AY$3,FALSE),"")</f>
        <v/>
      </c>
    </row>
    <row r="103" spans="1:51" ht="13.9" customHeight="1" x14ac:dyDescent="0.15">
      <c r="A103" s="10">
        <v>2021</v>
      </c>
      <c r="B103" s="10">
        <f>B100+1</f>
        <v>10</v>
      </c>
      <c r="C103" s="67">
        <f t="shared" si="56"/>
        <v>44470</v>
      </c>
      <c r="D103" s="36">
        <f t="shared" si="48"/>
        <v>44482</v>
      </c>
      <c r="E103" s="37">
        <f t="shared" si="57"/>
        <v>44482</v>
      </c>
      <c r="F103" s="14" t="str">
        <f t="shared" si="58"/>
        <v>澤野 正樹</v>
      </c>
      <c r="H103" s="72"/>
      <c r="I103" s="81"/>
      <c r="J103" s="81"/>
      <c r="K103" s="81"/>
      <c r="L103" s="81"/>
      <c r="M103" s="81"/>
      <c r="N103" s="81"/>
      <c r="O103" s="115"/>
      <c r="P103" s="115"/>
      <c r="Q103" s="115"/>
      <c r="R103" s="115">
        <v>1</v>
      </c>
      <c r="S103" s="81"/>
      <c r="T103" s="81"/>
      <c r="U103" s="81"/>
      <c r="V103" s="81"/>
      <c r="W103" s="81"/>
      <c r="X103" s="115"/>
      <c r="Y103" s="81"/>
      <c r="Z103" s="81"/>
      <c r="AA103" s="81"/>
      <c r="AB103" s="81"/>
      <c r="AC103" s="81"/>
      <c r="AD103" s="81"/>
      <c r="AE103" s="81"/>
      <c r="AF103" s="81"/>
      <c r="AG103" s="81"/>
      <c r="AH103" s="81"/>
      <c r="AI103" s="81"/>
      <c r="AJ103" s="89"/>
      <c r="AK103" s="89"/>
      <c r="AL103" s="89"/>
      <c r="AM103" s="65"/>
      <c r="AN103" s="66"/>
      <c r="AR103" s="69" t="str">
        <f>IFERROR(HLOOKUP(D103,[24]明!$D$1:$AH$4,AR$3,FALSE),"")</f>
        <v>佐藤恵</v>
      </c>
      <c r="AS103" s="69" t="str">
        <f>IFERROR(HLOOKUP(E103,[24]明!$D$1:$AH$4,AS$3,FALSE),"")</f>
        <v>本田</v>
      </c>
      <c r="AT103" s="29" t="str">
        <f>IFERROR(HLOOKUP($D103,[24]●!$D$1:$AH$10,AT$3,FALSE),"")</f>
        <v>澤野</v>
      </c>
      <c r="AU103" s="29" t="str">
        <f>IFERROR(HLOOKUP($D103,[24]●!$D$1:$AH$10,AU$3,FALSE),"")</f>
        <v>加藤</v>
      </c>
      <c r="AV103" s="29" t="str">
        <f>IFERROR(HLOOKUP($D103,[24]●!$D$1:$AH$10,AV$3,FALSE),"")</f>
        <v/>
      </c>
      <c r="AW103" s="29" t="str">
        <f>IFERROR(HLOOKUP($D103,[24]●!$D$1:$AH$10,AW$3,FALSE),"")</f>
        <v/>
      </c>
      <c r="AX103" s="29" t="str">
        <f>IFERROR(HLOOKUP($D103,[24]●!$D$1:$AH$10,AX$3,FALSE),"")</f>
        <v/>
      </c>
      <c r="AY103" s="29" t="str">
        <f>IFERROR(HLOOKUP($D103,[24]●!$D$1:$AH$10,AY$3,FALSE),"")</f>
        <v/>
      </c>
    </row>
    <row r="104" spans="1:51" ht="13.9" customHeight="1" x14ac:dyDescent="0.15">
      <c r="A104" s="10">
        <v>2021</v>
      </c>
      <c r="B104" s="10">
        <f t="shared" ref="B104:B111" si="59">B101+1</f>
        <v>10</v>
      </c>
      <c r="C104" s="67">
        <f t="shared" si="56"/>
        <v>44470</v>
      </c>
      <c r="D104" s="38">
        <f t="shared" si="49"/>
        <v>44488</v>
      </c>
      <c r="E104" s="37">
        <f t="shared" si="57"/>
        <v>44488</v>
      </c>
      <c r="F104" s="14" t="str">
        <f t="shared" si="58"/>
        <v>清水　正生</v>
      </c>
      <c r="H104" s="72"/>
      <c r="I104" s="81"/>
      <c r="J104" s="81"/>
      <c r="K104" s="81"/>
      <c r="L104" s="81"/>
      <c r="M104" s="81"/>
      <c r="N104" s="81"/>
      <c r="O104" s="115"/>
      <c r="P104" s="115"/>
      <c r="Q104" s="115"/>
      <c r="R104" s="115"/>
      <c r="S104" s="81"/>
      <c r="T104" s="81"/>
      <c r="U104" s="81"/>
      <c r="V104" s="81"/>
      <c r="W104" s="81"/>
      <c r="X104" s="115"/>
      <c r="Y104" s="81"/>
      <c r="Z104" s="81"/>
      <c r="AA104" s="81"/>
      <c r="AB104" s="81"/>
      <c r="AC104" s="81"/>
      <c r="AD104" s="81"/>
      <c r="AE104" s="81"/>
      <c r="AF104" s="81"/>
      <c r="AG104" s="81"/>
      <c r="AH104" s="81"/>
      <c r="AI104" s="81"/>
      <c r="AJ104" s="89">
        <v>1</v>
      </c>
      <c r="AK104" s="89"/>
      <c r="AL104" s="89"/>
      <c r="AM104" s="65"/>
      <c r="AN104" s="66"/>
      <c r="AR104" s="69" t="str">
        <f>IFERROR(HLOOKUP(D104,[24]明!$D$1:$AH$4,AR$3,FALSE),"")</f>
        <v>中村映</v>
      </c>
      <c r="AS104" s="69" t="str">
        <f>IFERROR(HLOOKUP(E104,[24]明!$D$1:$AH$4,AS$3,FALSE),"")</f>
        <v>龍野</v>
      </c>
      <c r="AT104" s="29" t="str">
        <f>IFERROR(HLOOKUP($D104,[24]●!$D$1:$AH$10,AT$3,FALSE),"")</f>
        <v>佐藤恵</v>
      </c>
      <c r="AU104" s="29" t="str">
        <f>IFERROR(HLOOKUP($D104,[24]●!$D$1:$AH$10,AU$3,FALSE),"")</f>
        <v>松木</v>
      </c>
      <c r="AV104" s="29" t="str">
        <f>IFERROR(HLOOKUP($D104,[24]●!$D$1:$AH$10,AV$3,FALSE),"")</f>
        <v/>
      </c>
      <c r="AW104" s="29" t="str">
        <f>IFERROR(HLOOKUP($D104,[24]●!$D$1:$AH$10,AW$3,FALSE),"")</f>
        <v/>
      </c>
      <c r="AX104" s="29" t="str">
        <f>IFERROR(HLOOKUP($D104,[24]●!$D$1:$AH$10,AX$3,FALSE),"")</f>
        <v/>
      </c>
      <c r="AY104" s="29" t="str">
        <f>IFERROR(HLOOKUP($D104,[24]●!$D$1:$AH$10,AY$3,FALSE),"")</f>
        <v/>
      </c>
    </row>
    <row r="105" spans="1:51" ht="13.9" customHeight="1" x14ac:dyDescent="0.15">
      <c r="A105" s="10">
        <v>2021</v>
      </c>
      <c r="B105" s="10">
        <f t="shared" si="59"/>
        <v>10</v>
      </c>
      <c r="C105" s="67">
        <f t="shared" si="56"/>
        <v>44470</v>
      </c>
      <c r="D105" s="36">
        <f t="shared" si="50"/>
        <v>44496</v>
      </c>
      <c r="E105" s="37">
        <f t="shared" si="57"/>
        <v>44496</v>
      </c>
      <c r="F105" s="14" t="str">
        <f t="shared" si="58"/>
        <v>齊藤 久紘</v>
      </c>
      <c r="H105" s="72"/>
      <c r="I105" s="81"/>
      <c r="J105" s="81"/>
      <c r="K105" s="81"/>
      <c r="L105" s="81"/>
      <c r="M105" s="81"/>
      <c r="N105" s="81"/>
      <c r="O105" s="115"/>
      <c r="P105" s="115"/>
      <c r="Q105" s="115"/>
      <c r="R105" s="115"/>
      <c r="S105" s="81"/>
      <c r="T105" s="81"/>
      <c r="U105" s="81"/>
      <c r="V105" s="81"/>
      <c r="W105" s="81"/>
      <c r="X105" s="115"/>
      <c r="Y105" s="81"/>
      <c r="Z105" s="81"/>
      <c r="AA105" s="81"/>
      <c r="AB105" s="81">
        <v>1</v>
      </c>
      <c r="AC105" s="81"/>
      <c r="AD105" s="81"/>
      <c r="AE105" s="81"/>
      <c r="AF105" s="81"/>
      <c r="AG105" s="81"/>
      <c r="AH105" s="81"/>
      <c r="AI105" s="81"/>
      <c r="AJ105" s="89"/>
      <c r="AK105" s="89"/>
      <c r="AL105" s="89"/>
      <c r="AM105" s="65"/>
      <c r="AN105" s="66"/>
      <c r="AR105" s="69" t="str">
        <f>IFERROR(HLOOKUP(D105,[24]明!$D$1:$AH$4,AR$3,FALSE),"")</f>
        <v>齊藤</v>
      </c>
      <c r="AS105" s="69" t="str">
        <f>IFERROR(HLOOKUP(E105,[24]明!$D$1:$AH$4,AS$3,FALSE),"")</f>
        <v>西郡</v>
      </c>
      <c r="AT105" s="29" t="str">
        <f>IFERROR(HLOOKUP($D105,[24]●!$D$1:$AH$10,AT$3,FALSE),"")</f>
        <v>清水</v>
      </c>
      <c r="AU105" s="29" t="str">
        <f>IFERROR(HLOOKUP($D105,[24]●!$D$1:$AH$10,AU$3,FALSE),"")</f>
        <v>庵</v>
      </c>
      <c r="AV105" s="29" t="str">
        <f>IFERROR(HLOOKUP($D105,[24]●!$D$1:$AH$10,AV$3,FALSE),"")</f>
        <v/>
      </c>
      <c r="AW105" s="29" t="str">
        <f>IFERROR(HLOOKUP($D105,[24]●!$D$1:$AH$10,AW$3,FALSE),"")</f>
        <v/>
      </c>
      <c r="AX105" s="29" t="str">
        <f>IFERROR(HLOOKUP($D105,[24]●!$D$1:$AH$10,AX$3,FALSE),"")</f>
        <v/>
      </c>
      <c r="AY105" s="29" t="str">
        <f>IFERROR(HLOOKUP($D105,[24]●!$D$1:$AH$10,AY$3,FALSE),"")</f>
        <v/>
      </c>
    </row>
    <row r="106" spans="1:51" ht="13.9" customHeight="1" x14ac:dyDescent="0.15">
      <c r="A106" s="10">
        <v>2021</v>
      </c>
      <c r="B106" s="10">
        <f t="shared" si="59"/>
        <v>11</v>
      </c>
      <c r="C106" s="67">
        <f t="shared" si="56"/>
        <v>44501</v>
      </c>
      <c r="D106" s="36">
        <f t="shared" si="48"/>
        <v>44510</v>
      </c>
      <c r="E106" s="37">
        <f t="shared" si="57"/>
        <v>44510</v>
      </c>
      <c r="F106" s="14" t="str">
        <f t="shared" si="58"/>
        <v>諸田　悠也</v>
      </c>
      <c r="H106" s="72"/>
      <c r="I106" s="81"/>
      <c r="J106" s="81"/>
      <c r="K106" s="81"/>
      <c r="L106" s="81"/>
      <c r="M106" s="81"/>
      <c r="N106" s="81"/>
      <c r="O106" s="115"/>
      <c r="P106" s="115"/>
      <c r="Q106" s="115"/>
      <c r="R106" s="115"/>
      <c r="S106" s="81"/>
      <c r="T106" s="81"/>
      <c r="U106" s="81"/>
      <c r="V106" s="81"/>
      <c r="W106" s="81"/>
      <c r="X106" s="115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9"/>
      <c r="AK106" s="89">
        <v>1</v>
      </c>
      <c r="AL106" s="89"/>
      <c r="AM106" s="65"/>
      <c r="AN106" s="66"/>
      <c r="AR106" s="69" t="str">
        <f>IFERROR(HLOOKUP(D106,[25]明!$D$1:$AH$4,AR$3,FALSE),"")</f>
        <v>中村映</v>
      </c>
      <c r="AS106" s="69" t="str">
        <f>IFERROR(HLOOKUP(E106,[25]明!$D$1:$AH$4,AS$3,FALSE),"")</f>
        <v>諸田</v>
      </c>
      <c r="AT106" s="29" t="str">
        <f>IFERROR(HLOOKUP($D106,[25]●!$D$1:$AH$10,AT$3,FALSE),"")</f>
        <v>庵</v>
      </c>
      <c r="AU106" s="29" t="str">
        <f>IFERROR(HLOOKUP($D106,[25]●!$D$1:$AH$10,AU$3,FALSE),"")</f>
        <v>本田</v>
      </c>
      <c r="AV106" s="29" t="str">
        <f>IFERROR(HLOOKUP($D106,[25]●!$D$1:$AH$10,AV$3,FALSE),"")</f>
        <v/>
      </c>
      <c r="AW106" s="29" t="str">
        <f>IFERROR(HLOOKUP($D106,[25]●!$D$1:$AH$10,AW$3,FALSE),"")</f>
        <v/>
      </c>
      <c r="AX106" s="29" t="str">
        <f>IFERROR(HLOOKUP($D106,[25]●!$D$1:$AH$10,AX$3,FALSE),"")</f>
        <v/>
      </c>
      <c r="AY106" s="29" t="str">
        <f>IFERROR(HLOOKUP($D106,[25]●!$D$1:$AH$10,AY$3,FALSE),"")</f>
        <v/>
      </c>
    </row>
    <row r="107" spans="1:51" ht="13.9" customHeight="1" x14ac:dyDescent="0.15">
      <c r="A107" s="10">
        <v>2021</v>
      </c>
      <c r="B107" s="10">
        <f t="shared" si="59"/>
        <v>11</v>
      </c>
      <c r="C107" s="67">
        <f t="shared" si="56"/>
        <v>44501</v>
      </c>
      <c r="D107" s="38">
        <f t="shared" si="49"/>
        <v>44516</v>
      </c>
      <c r="E107" s="37">
        <f t="shared" si="57"/>
        <v>44516</v>
      </c>
      <c r="F107" s="14" t="str">
        <f t="shared" si="58"/>
        <v>田村 能之</v>
      </c>
      <c r="H107" s="72"/>
      <c r="I107" s="81"/>
      <c r="J107" s="81"/>
      <c r="K107" s="81"/>
      <c r="L107" s="81"/>
      <c r="M107" s="81"/>
      <c r="N107" s="81"/>
      <c r="O107" s="115"/>
      <c r="P107" s="115"/>
      <c r="Q107" s="115"/>
      <c r="R107" s="115"/>
      <c r="S107" s="81"/>
      <c r="T107" s="81"/>
      <c r="U107" s="81"/>
      <c r="V107" s="81"/>
      <c r="W107" s="81"/>
      <c r="X107" s="115"/>
      <c r="Y107" s="81"/>
      <c r="Z107" s="81"/>
      <c r="AA107" s="81">
        <v>1</v>
      </c>
      <c r="AB107" s="81"/>
      <c r="AC107" s="81"/>
      <c r="AD107" s="81"/>
      <c r="AE107" s="81"/>
      <c r="AF107" s="81"/>
      <c r="AG107" s="81"/>
      <c r="AH107" s="81"/>
      <c r="AI107" s="81"/>
      <c r="AJ107" s="89"/>
      <c r="AK107" s="89"/>
      <c r="AL107" s="89"/>
      <c r="AM107" s="65"/>
      <c r="AN107" s="66"/>
      <c r="AR107" s="69" t="str">
        <f>IFERROR(HLOOKUP(D107,[25]明!$D$1:$AH$4,AR$3,FALSE),"")</f>
        <v>山田</v>
      </c>
      <c r="AS107" s="69" t="str">
        <f>IFERROR(HLOOKUP(E107,[25]明!$D$1:$AH$4,AS$3,FALSE),"")</f>
        <v>佐藤恵</v>
      </c>
      <c r="AT107" s="29" t="str">
        <f>IFERROR(HLOOKUP($D107,[25]●!$D$1:$AH$10,AT$3,FALSE),"")</f>
        <v>長田</v>
      </c>
      <c r="AU107" s="29" t="str">
        <f>IFERROR(HLOOKUP($D107,[25]●!$D$1:$AH$10,AU$3,FALSE),"")</f>
        <v>田村</v>
      </c>
      <c r="AV107" s="29" t="str">
        <f>IFERROR(HLOOKUP($D107,[25]●!$D$1:$AH$10,AV$3,FALSE),"")</f>
        <v/>
      </c>
      <c r="AW107" s="29" t="str">
        <f>IFERROR(HLOOKUP($D107,[25]●!$D$1:$AH$10,AW$3,FALSE),"")</f>
        <v/>
      </c>
      <c r="AX107" s="29" t="str">
        <f>IFERROR(HLOOKUP($D107,[25]●!$D$1:$AH$10,AX$3,FALSE),"")</f>
        <v/>
      </c>
      <c r="AY107" s="29" t="str">
        <f>IFERROR(HLOOKUP($D107,[25]●!$D$1:$AH$10,AY$3,FALSE),"")</f>
        <v/>
      </c>
    </row>
    <row r="108" spans="1:51" ht="13.9" customHeight="1" x14ac:dyDescent="0.15">
      <c r="A108" s="10">
        <v>2021</v>
      </c>
      <c r="B108" s="10">
        <f t="shared" si="59"/>
        <v>11</v>
      </c>
      <c r="C108" s="67">
        <f t="shared" si="56"/>
        <v>44501</v>
      </c>
      <c r="D108" s="36">
        <f t="shared" si="50"/>
        <v>44524</v>
      </c>
      <c r="E108" s="37">
        <f t="shared" si="57"/>
        <v>44524</v>
      </c>
      <c r="F108" s="14" t="str">
        <f t="shared" si="58"/>
        <v>西明 千織</v>
      </c>
      <c r="H108" s="72">
        <v>1</v>
      </c>
      <c r="I108" s="81"/>
      <c r="J108" s="81"/>
      <c r="K108" s="81"/>
      <c r="L108" s="81"/>
      <c r="M108" s="81"/>
      <c r="N108" s="81"/>
      <c r="O108" s="115"/>
      <c r="P108" s="115"/>
      <c r="Q108" s="115"/>
      <c r="R108" s="115"/>
      <c r="S108" s="81"/>
      <c r="T108" s="81"/>
      <c r="U108" s="81"/>
      <c r="V108" s="81"/>
      <c r="W108" s="81"/>
      <c r="X108" s="115"/>
      <c r="Y108" s="81"/>
      <c r="Z108" s="81"/>
      <c r="AA108" s="81"/>
      <c r="AB108" s="81"/>
      <c r="AC108" s="81"/>
      <c r="AD108" s="81"/>
      <c r="AE108" s="81"/>
      <c r="AF108" s="81"/>
      <c r="AG108" s="81"/>
      <c r="AH108" s="81"/>
      <c r="AI108" s="81"/>
      <c r="AJ108" s="89"/>
      <c r="AK108" s="89"/>
      <c r="AL108" s="89"/>
      <c r="AM108" s="65"/>
      <c r="AN108" s="66"/>
      <c r="AR108" s="69" t="str">
        <f>IFERROR(HLOOKUP(D108,[25]明!$D$1:$AH$4,AR$3,FALSE),"")</f>
        <v>山田</v>
      </c>
      <c r="AS108" s="69" t="str">
        <f>IFERROR(HLOOKUP(E108,[25]明!$D$1:$AH$4,AS$3,FALSE),"")</f>
        <v>佐藤恵</v>
      </c>
      <c r="AT108" s="29" t="str">
        <f>IFERROR(HLOOKUP($D108,[25]●!$D$1:$AH$10,AT$3,FALSE),"")</f>
        <v>山下</v>
      </c>
      <c r="AU108" s="29" t="str">
        <f>IFERROR(HLOOKUP($D108,[25]●!$D$1:$AH$10,AU$3,FALSE),"")</f>
        <v>大橋</v>
      </c>
      <c r="AV108" s="29" t="str">
        <f>IFERROR(HLOOKUP($D108,[25]●!$D$1:$AH$10,AV$3,FALSE),"")</f>
        <v>本田</v>
      </c>
      <c r="AW108" s="29" t="str">
        <f>IFERROR(HLOOKUP($D108,[25]●!$D$1:$AH$10,AW$3,FALSE),"")</f>
        <v/>
      </c>
      <c r="AX108" s="29" t="str">
        <f>IFERROR(HLOOKUP($D108,[25]●!$D$1:$AH$10,AX$3,FALSE),"")</f>
        <v/>
      </c>
      <c r="AY108" s="29" t="str">
        <f>IFERROR(HLOOKUP($D108,[25]●!$D$1:$AH$10,AY$3,FALSE),"")</f>
        <v/>
      </c>
    </row>
    <row r="109" spans="1:51" ht="13.9" customHeight="1" x14ac:dyDescent="0.15">
      <c r="A109" s="10">
        <v>2021</v>
      </c>
      <c r="B109" s="10">
        <f t="shared" si="59"/>
        <v>12</v>
      </c>
      <c r="C109" s="67">
        <f t="shared" si="56"/>
        <v>44531</v>
      </c>
      <c r="D109" s="36">
        <f t="shared" si="48"/>
        <v>44538</v>
      </c>
      <c r="E109" s="37">
        <f t="shared" si="57"/>
        <v>44538</v>
      </c>
      <c r="F109" s="14" t="str">
        <f t="shared" si="58"/>
        <v>小川 穂波</v>
      </c>
      <c r="H109" s="72"/>
      <c r="I109" s="81"/>
      <c r="J109" s="81"/>
      <c r="K109" s="81"/>
      <c r="L109" s="81"/>
      <c r="M109" s="81"/>
      <c r="N109" s="81"/>
      <c r="O109" s="115"/>
      <c r="P109" s="115"/>
      <c r="Q109" s="115"/>
      <c r="R109" s="115"/>
      <c r="S109" s="81"/>
      <c r="T109" s="81"/>
      <c r="U109" s="81"/>
      <c r="V109" s="81"/>
      <c r="W109" s="81"/>
      <c r="X109" s="115"/>
      <c r="Y109" s="81"/>
      <c r="Z109" s="81"/>
      <c r="AA109" s="81"/>
      <c r="AB109" s="81"/>
      <c r="AC109" s="81"/>
      <c r="AD109" s="81"/>
      <c r="AE109" s="81"/>
      <c r="AF109" s="81"/>
      <c r="AG109" s="81"/>
      <c r="AH109" s="81">
        <v>1</v>
      </c>
      <c r="AI109" s="81"/>
      <c r="AJ109" s="89"/>
      <c r="AK109" s="89"/>
      <c r="AL109" s="89"/>
      <c r="AM109" s="65"/>
      <c r="AN109" s="66"/>
      <c r="AR109" s="69" t="str">
        <f>IFERROR(HLOOKUP(D109,[26]明!$D$1:$AH$4,AR$3,FALSE),"")</f>
        <v>大橋</v>
      </c>
      <c r="AS109" s="69" t="str">
        <f>IFERROR(HLOOKUP(E109,[26]明!$D$1:$AH$4,AS$3,FALSE),"")</f>
        <v>佐藤穂</v>
      </c>
      <c r="AT109" s="29" t="str">
        <f>IFERROR(HLOOKUP($D109,[26]●!$D$1:$AH$10,AT$3,FALSE),"")</f>
        <v>庵</v>
      </c>
      <c r="AU109" s="29" t="str">
        <f>IFERROR(HLOOKUP($D109,[26]●!$D$1:$AH$10,AU$3,FALSE),"")</f>
        <v/>
      </c>
      <c r="AV109" s="29" t="str">
        <f>IFERROR(HLOOKUP($D109,[26]●!$D$1:$AH$10,AV$3,FALSE),"")</f>
        <v/>
      </c>
      <c r="AW109" s="29" t="str">
        <f>IFERROR(HLOOKUP($D109,[26]●!$D$1:$AH$10,AW$3,FALSE),"")</f>
        <v/>
      </c>
      <c r="AX109" s="29" t="str">
        <f>IFERROR(HLOOKUP($D109,[26]●!$D$1:$AH$10,AX$3,FALSE),"")</f>
        <v/>
      </c>
      <c r="AY109" s="29" t="str">
        <f>IFERROR(HLOOKUP($D109,[26]●!$D$1:$AH$10,AY$3,FALSE),"")</f>
        <v/>
      </c>
    </row>
    <row r="110" spans="1:51" ht="13.9" customHeight="1" x14ac:dyDescent="0.15">
      <c r="A110" s="10">
        <v>2021</v>
      </c>
      <c r="B110" s="10">
        <f t="shared" si="59"/>
        <v>12</v>
      </c>
      <c r="C110" s="67">
        <f t="shared" si="56"/>
        <v>44531</v>
      </c>
      <c r="D110" s="38">
        <f t="shared" si="49"/>
        <v>44551</v>
      </c>
      <c r="E110" s="37">
        <f t="shared" si="57"/>
        <v>44551</v>
      </c>
      <c r="F110" s="14" t="str">
        <f t="shared" si="58"/>
        <v>大橋 効</v>
      </c>
      <c r="H110" s="72"/>
      <c r="I110" s="81"/>
      <c r="J110" s="81"/>
      <c r="K110" s="81"/>
      <c r="L110" s="81"/>
      <c r="M110" s="81"/>
      <c r="N110" s="81"/>
      <c r="O110" s="115">
        <v>1</v>
      </c>
      <c r="P110" s="115"/>
      <c r="Q110" s="115"/>
      <c r="R110" s="115"/>
      <c r="S110" s="81"/>
      <c r="T110" s="81"/>
      <c r="U110" s="81"/>
      <c r="V110" s="81"/>
      <c r="W110" s="81"/>
      <c r="X110" s="115"/>
      <c r="Y110" s="81"/>
      <c r="Z110" s="81"/>
      <c r="AA110" s="81"/>
      <c r="AB110" s="81"/>
      <c r="AC110" s="81"/>
      <c r="AD110" s="81"/>
      <c r="AE110" s="81"/>
      <c r="AF110" s="81"/>
      <c r="AG110" s="81"/>
      <c r="AH110" s="81"/>
      <c r="AI110" s="81"/>
      <c r="AJ110" s="89"/>
      <c r="AK110" s="89"/>
      <c r="AL110" s="89"/>
      <c r="AM110" s="65"/>
      <c r="AN110" s="66"/>
      <c r="AR110" s="69" t="str">
        <f>IFERROR(HLOOKUP(D110,[26]明!$D$1:$AH$4,AR$3,FALSE),"")</f>
        <v>大橋</v>
      </c>
      <c r="AS110" s="69" t="str">
        <f>IFERROR(HLOOKUP(E110,[26]明!$D$1:$AH$4,AS$3,FALSE),"")</f>
        <v>澤野</v>
      </c>
      <c r="AT110" s="29" t="str">
        <f>IFERROR(HLOOKUP($D110,[26]●!$D$1:$AH$10,AT$3,FALSE),"")</f>
        <v>長田</v>
      </c>
      <c r="AU110" s="29" t="str">
        <f>IFERROR(HLOOKUP($D110,[26]●!$D$1:$AH$10,AU$3,FALSE),"")</f>
        <v>齊藤</v>
      </c>
      <c r="AV110" s="29" t="str">
        <f>IFERROR(HLOOKUP($D110,[26]●!$D$1:$AH$10,AV$3,FALSE),"")</f>
        <v/>
      </c>
      <c r="AW110" s="29" t="str">
        <f>IFERROR(HLOOKUP($D110,[26]●!$D$1:$AH$10,AW$3,FALSE),"")</f>
        <v/>
      </c>
      <c r="AX110" s="29" t="str">
        <f>IFERROR(HLOOKUP($D110,[26]●!$D$1:$AH$10,AX$3,FALSE),"")</f>
        <v/>
      </c>
      <c r="AY110" s="29" t="str">
        <f>IFERROR(HLOOKUP($D110,[26]●!$D$1:$AH$10,AY$3,FALSE),"")</f>
        <v/>
      </c>
    </row>
    <row r="111" spans="1:51" ht="13.9" customHeight="1" x14ac:dyDescent="0.15">
      <c r="A111" s="10">
        <v>2021</v>
      </c>
      <c r="B111" s="10">
        <f t="shared" si="59"/>
        <v>12</v>
      </c>
      <c r="C111" s="67">
        <f t="shared" si="56"/>
        <v>44531</v>
      </c>
      <c r="D111" s="36">
        <f t="shared" si="50"/>
        <v>44552</v>
      </c>
      <c r="E111" s="37">
        <f t="shared" si="57"/>
        <v>44552</v>
      </c>
      <c r="F111" s="14" t="str">
        <f t="shared" si="58"/>
        <v>清水　正生</v>
      </c>
      <c r="H111" s="72"/>
      <c r="I111" s="81"/>
      <c r="J111" s="81"/>
      <c r="K111" s="81"/>
      <c r="L111" s="81"/>
      <c r="M111" s="81"/>
      <c r="N111" s="81"/>
      <c r="O111" s="115"/>
      <c r="P111" s="115"/>
      <c r="Q111" s="115"/>
      <c r="R111" s="115"/>
      <c r="S111" s="81"/>
      <c r="T111" s="81"/>
      <c r="U111" s="81"/>
      <c r="V111" s="81"/>
      <c r="W111" s="81"/>
      <c r="X111" s="115"/>
      <c r="Y111" s="81"/>
      <c r="Z111" s="81"/>
      <c r="AA111" s="81"/>
      <c r="AB111" s="81"/>
      <c r="AC111" s="81"/>
      <c r="AD111" s="81"/>
      <c r="AE111" s="81"/>
      <c r="AF111" s="81"/>
      <c r="AG111" s="81"/>
      <c r="AH111" s="81"/>
      <c r="AI111" s="81"/>
      <c r="AJ111" s="89">
        <v>1</v>
      </c>
      <c r="AK111" s="89"/>
      <c r="AL111" s="89"/>
      <c r="AM111" s="65"/>
      <c r="AN111" s="66"/>
      <c r="AR111" s="69" t="str">
        <f>IFERROR(HLOOKUP(D111,[26]明!$D$1:$AH$4,AR$3,FALSE),"")</f>
        <v>龍野</v>
      </c>
      <c r="AS111" s="69" t="str">
        <f>IFERROR(HLOOKUP(E111,[26]明!$D$1:$AH$4,AS$3,FALSE),"")</f>
        <v>西郡</v>
      </c>
      <c r="AT111" s="29" t="str">
        <f>IFERROR(HLOOKUP($D111,[26]●!$D$1:$AH$10,AT$3,FALSE),"")</f>
        <v>澤野</v>
      </c>
      <c r="AU111" s="29" t="str">
        <f>IFERROR(HLOOKUP($D111,[26]●!$D$1:$AH$10,AU$3,FALSE),"")</f>
        <v/>
      </c>
      <c r="AV111" s="29" t="str">
        <f>IFERROR(HLOOKUP($D111,[26]●!$D$1:$AH$10,AV$3,FALSE),"")</f>
        <v/>
      </c>
      <c r="AW111" s="29" t="str">
        <f>IFERROR(HLOOKUP($D111,[26]●!$D$1:$AH$10,AW$3,FALSE),"")</f>
        <v/>
      </c>
      <c r="AX111" s="29" t="str">
        <f>IFERROR(HLOOKUP($D111,[26]●!$D$1:$AH$10,AX$3,FALSE),"")</f>
        <v/>
      </c>
      <c r="AY111" s="29" t="str">
        <f>IFERROR(HLOOKUP($D111,[26]●!$D$1:$AH$10,AY$3,FALSE),"")</f>
        <v/>
      </c>
    </row>
    <row r="112" spans="1:51" ht="13.9" customHeight="1" x14ac:dyDescent="0.15">
      <c r="A112" s="10">
        <v>2022</v>
      </c>
      <c r="B112" s="10">
        <f>IF(B109+1&gt;12,B109+1-12,B109+1)</f>
        <v>1</v>
      </c>
      <c r="C112" s="67">
        <f t="shared" si="56"/>
        <v>44562</v>
      </c>
      <c r="D112" s="36">
        <f t="shared" si="48"/>
        <v>44573</v>
      </c>
      <c r="E112" s="37">
        <f t="shared" si="57"/>
        <v>44573</v>
      </c>
      <c r="F112" s="14" t="str">
        <f t="shared" si="58"/>
        <v>諸田　悠也</v>
      </c>
      <c r="H112" s="72"/>
      <c r="I112" s="81"/>
      <c r="J112" s="81"/>
      <c r="K112" s="81"/>
      <c r="L112" s="81"/>
      <c r="M112" s="81"/>
      <c r="N112" s="81"/>
      <c r="O112" s="115"/>
      <c r="P112" s="115"/>
      <c r="Q112" s="115"/>
      <c r="R112" s="115"/>
      <c r="S112" s="81"/>
      <c r="T112" s="81"/>
      <c r="U112" s="81"/>
      <c r="V112" s="81"/>
      <c r="W112" s="81"/>
      <c r="X112" s="115"/>
      <c r="Y112" s="81"/>
      <c r="Z112" s="81"/>
      <c r="AA112" s="81"/>
      <c r="AB112" s="81"/>
      <c r="AC112" s="81"/>
      <c r="AD112" s="81"/>
      <c r="AE112" s="81"/>
      <c r="AF112" s="81"/>
      <c r="AG112" s="81"/>
      <c r="AH112" s="81"/>
      <c r="AI112" s="81"/>
      <c r="AJ112" s="89"/>
      <c r="AK112" s="89">
        <v>1</v>
      </c>
      <c r="AL112" s="89"/>
      <c r="AM112" s="65"/>
      <c r="AN112" s="66"/>
      <c r="AR112" s="69" t="str">
        <f>IFERROR(HLOOKUP(D112,[27]明!$D$1:$AH$4,AR$3,FALSE),"")</f>
        <v>山田</v>
      </c>
      <c r="AS112" s="69" t="str">
        <f>IFERROR(HLOOKUP(E112,[27]明!$D$1:$AH$4,AS$3,FALSE),"")</f>
        <v>龍野</v>
      </c>
      <c r="AT112" s="29" t="str">
        <f>IFERROR(HLOOKUP($D112,[27]●!$D$1:$AH$10,AT$3,FALSE),"")</f>
        <v>山下</v>
      </c>
      <c r="AU112" s="29" t="str">
        <f>IFERROR(HLOOKUP($D112,[27]●!$D$1:$AH$10,AU$3,FALSE),"")</f>
        <v>平田真</v>
      </c>
      <c r="AV112" s="29" t="str">
        <f>IFERROR(HLOOKUP($D112,[27]●!$D$1:$AH$10,AV$3,FALSE),"")</f>
        <v>諸田</v>
      </c>
      <c r="AW112" s="29" t="str">
        <f>IFERROR(HLOOKUP($D112,[27]●!$D$1:$AH$10,AW$3,FALSE),"")</f>
        <v/>
      </c>
      <c r="AX112" s="29" t="str">
        <f>IFERROR(HLOOKUP($D112,[27]●!$D$1:$AH$10,AX$3,FALSE),"")</f>
        <v/>
      </c>
      <c r="AY112" s="29" t="str">
        <f>IFERROR(HLOOKUP($D112,[27]●!$D$1:$AH$10,AY$3,FALSE),"")</f>
        <v/>
      </c>
    </row>
    <row r="113" spans="1:51" ht="13.9" customHeight="1" x14ac:dyDescent="0.15">
      <c r="A113" s="10">
        <v>2022</v>
      </c>
      <c r="B113" s="10">
        <f t="shared" ref="B113:B176" si="60">IF(B110+1&gt;12,B110+1-12,B110+1)</f>
        <v>1</v>
      </c>
      <c r="C113" s="67">
        <f t="shared" si="56"/>
        <v>44562</v>
      </c>
      <c r="D113" s="38">
        <f t="shared" si="49"/>
        <v>44579</v>
      </c>
      <c r="E113" s="37">
        <f t="shared" si="57"/>
        <v>44579</v>
      </c>
      <c r="F113" s="14" t="str">
        <f t="shared" si="58"/>
        <v>大橋 効</v>
      </c>
      <c r="H113" s="72"/>
      <c r="I113" s="81"/>
      <c r="J113" s="81"/>
      <c r="K113" s="81"/>
      <c r="L113" s="81"/>
      <c r="M113" s="81"/>
      <c r="N113" s="81"/>
      <c r="O113" s="115">
        <v>1</v>
      </c>
      <c r="P113" s="115"/>
      <c r="Q113" s="115"/>
      <c r="R113" s="115"/>
      <c r="S113" s="81"/>
      <c r="T113" s="81"/>
      <c r="U113" s="81"/>
      <c r="V113" s="81"/>
      <c r="W113" s="81"/>
      <c r="X113" s="115"/>
      <c r="Y113" s="81"/>
      <c r="Z113" s="81"/>
      <c r="AA113" s="81"/>
      <c r="AB113" s="81"/>
      <c r="AC113" s="81"/>
      <c r="AD113" s="81"/>
      <c r="AE113" s="81"/>
      <c r="AF113" s="81"/>
      <c r="AG113" s="81"/>
      <c r="AH113" s="81"/>
      <c r="AI113" s="81"/>
      <c r="AJ113" s="89"/>
      <c r="AK113" s="89"/>
      <c r="AL113" s="89"/>
      <c r="AM113" s="65"/>
      <c r="AN113" s="66"/>
      <c r="AR113" s="69" t="str">
        <f>IFERROR(HLOOKUP(D113,[27]明!$D$1:$AH$4,AR$3,FALSE),"")</f>
        <v>長田</v>
      </c>
      <c r="AS113" s="69" t="str">
        <f>IFERROR(HLOOKUP(E113,[27]明!$D$1:$AH$4,AS$3,FALSE),"")</f>
        <v>山本</v>
      </c>
      <c r="AT113" s="29" t="str">
        <f>IFERROR(HLOOKUP($D113,[27]●!$D$1:$AH$10,AT$3,FALSE),"")</f>
        <v>大橋</v>
      </c>
      <c r="AU113" s="29" t="str">
        <f>IFERROR(HLOOKUP($D113,[27]●!$D$1:$AH$10,AU$3,FALSE),"")</f>
        <v>山田</v>
      </c>
      <c r="AV113" s="29" t="str">
        <f>IFERROR(HLOOKUP($D113,[27]●!$D$1:$AH$10,AV$3,FALSE),"")</f>
        <v>齊藤</v>
      </c>
      <c r="AW113" s="29" t="str">
        <f>IFERROR(HLOOKUP($D113,[27]●!$D$1:$AH$10,AW$3,FALSE),"")</f>
        <v/>
      </c>
      <c r="AX113" s="29" t="str">
        <f>IFERROR(HLOOKUP($D113,[27]●!$D$1:$AH$10,AX$3,FALSE),"")</f>
        <v/>
      </c>
      <c r="AY113" s="29" t="str">
        <f>IFERROR(HLOOKUP($D113,[27]●!$D$1:$AH$10,AY$3,FALSE),"")</f>
        <v/>
      </c>
    </row>
    <row r="114" spans="1:51" ht="13.9" customHeight="1" x14ac:dyDescent="0.15">
      <c r="A114" s="10">
        <v>2022</v>
      </c>
      <c r="B114" s="10">
        <f t="shared" si="60"/>
        <v>1</v>
      </c>
      <c r="C114" s="67">
        <f t="shared" si="56"/>
        <v>44562</v>
      </c>
      <c r="D114" s="36">
        <f t="shared" si="50"/>
        <v>44587</v>
      </c>
      <c r="E114" s="37">
        <f t="shared" si="57"/>
        <v>44587</v>
      </c>
      <c r="F114" s="14" t="str">
        <f t="shared" si="58"/>
        <v>平田 恵哉</v>
      </c>
      <c r="H114" s="72"/>
      <c r="I114" s="81"/>
      <c r="J114" s="81"/>
      <c r="K114" s="81"/>
      <c r="L114" s="81"/>
      <c r="M114" s="81"/>
      <c r="N114" s="81"/>
      <c r="O114" s="115"/>
      <c r="P114" s="115"/>
      <c r="Q114" s="115"/>
      <c r="R114" s="115"/>
      <c r="S114" s="81"/>
      <c r="T114" s="81"/>
      <c r="U114" s="81">
        <v>1</v>
      </c>
      <c r="V114" s="81"/>
      <c r="W114" s="81"/>
      <c r="X114" s="115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9"/>
      <c r="AK114" s="89"/>
      <c r="AL114" s="89"/>
      <c r="AM114" s="65"/>
      <c r="AN114" s="66"/>
      <c r="AR114" s="69" t="str">
        <f>IFERROR(HLOOKUP(D114,[27]明!$D$1:$AH$4,AR$3,FALSE),"")</f>
        <v>平田恵</v>
      </c>
      <c r="AS114" s="69" t="str">
        <f>IFERROR(HLOOKUP(E114,[27]明!$D$1:$AH$4,AS$3,FALSE),"")</f>
        <v>大橋</v>
      </c>
      <c r="AT114" s="29" t="str">
        <f>IFERROR(HLOOKUP($D114,[27]●!$D$1:$AH$10,AT$3,FALSE),"")</f>
        <v>諸田</v>
      </c>
      <c r="AU114" s="29" t="str">
        <f>IFERROR(HLOOKUP($D114,[27]●!$D$1:$AH$10,AU$3,FALSE),"")</f>
        <v/>
      </c>
      <c r="AV114" s="29" t="str">
        <f>IFERROR(HLOOKUP($D114,[27]●!$D$1:$AH$10,AV$3,FALSE),"")</f>
        <v/>
      </c>
      <c r="AW114" s="29" t="str">
        <f>IFERROR(HLOOKUP($D114,[27]●!$D$1:$AH$10,AW$3,FALSE),"")</f>
        <v/>
      </c>
      <c r="AX114" s="29" t="str">
        <f>IFERROR(HLOOKUP($D114,[27]●!$D$1:$AH$10,AX$3,FALSE),"")</f>
        <v/>
      </c>
      <c r="AY114" s="29" t="str">
        <f>IFERROR(HLOOKUP($D114,[27]●!$D$1:$AH$10,AY$3,FALSE),"")</f>
        <v/>
      </c>
    </row>
    <row r="115" spans="1:51" ht="13.9" customHeight="1" x14ac:dyDescent="0.15">
      <c r="A115" s="10">
        <v>2022</v>
      </c>
      <c r="B115" s="10">
        <f t="shared" si="60"/>
        <v>2</v>
      </c>
      <c r="C115" s="67">
        <f t="shared" si="56"/>
        <v>44593</v>
      </c>
      <c r="D115" s="36">
        <f t="shared" si="48"/>
        <v>44601</v>
      </c>
      <c r="E115" s="37">
        <f t="shared" si="57"/>
        <v>44601</v>
      </c>
      <c r="F115" s="14" t="str">
        <f t="shared" si="58"/>
        <v>西郡　健太</v>
      </c>
      <c r="H115" s="72"/>
      <c r="I115" s="81"/>
      <c r="J115" s="81"/>
      <c r="K115" s="81"/>
      <c r="L115" s="81"/>
      <c r="M115" s="81"/>
      <c r="N115" s="81"/>
      <c r="O115" s="115"/>
      <c r="P115" s="115"/>
      <c r="Q115" s="115"/>
      <c r="R115" s="115"/>
      <c r="S115" s="81"/>
      <c r="T115" s="81"/>
      <c r="U115" s="81"/>
      <c r="V115" s="81"/>
      <c r="W115" s="81"/>
      <c r="X115" s="115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>
        <v>1</v>
      </c>
      <c r="AJ115" s="89"/>
      <c r="AK115" s="89"/>
      <c r="AL115" s="89"/>
      <c r="AM115" s="65"/>
      <c r="AN115" s="66"/>
      <c r="AR115" s="69" t="str">
        <f>IFERROR(HLOOKUP(D115,[28]明!$D$1:$AH$4,AR$3,FALSE),"")</f>
        <v>大橋</v>
      </c>
      <c r="AS115" s="69" t="str">
        <f>IFERROR(HLOOKUP(E115,[28]明!$D$1:$AH$4,AS$3,FALSE),"")</f>
        <v>諸田</v>
      </c>
      <c r="AT115" s="29" t="str">
        <f>IFERROR(HLOOKUP($D115,[28]●!$D$1:$AH$10,AT$3,FALSE),"")</f>
        <v>山村</v>
      </c>
      <c r="AU115" s="29" t="str">
        <f>IFERROR(HLOOKUP($D115,[28]●!$D$1:$AH$10,AU$3,FALSE),"")</f>
        <v>西郡</v>
      </c>
      <c r="AV115" s="29" t="str">
        <f>IFERROR(HLOOKUP($D115,[28]●!$D$1:$AH$10,AV$3,FALSE),"")</f>
        <v/>
      </c>
      <c r="AW115" s="29" t="str">
        <f>IFERROR(HLOOKUP($D115,[28]●!$D$1:$AH$10,AW$3,FALSE),"")</f>
        <v/>
      </c>
      <c r="AX115" s="29" t="str">
        <f>IFERROR(HLOOKUP($D115,[28]●!$D$1:$AH$10,AX$3,FALSE),"")</f>
        <v/>
      </c>
      <c r="AY115" s="29" t="str">
        <f>IFERROR(HLOOKUP($D115,[28]●!$D$1:$AH$10,AY$3,FALSE),"")</f>
        <v/>
      </c>
    </row>
    <row r="116" spans="1:51" ht="13.9" customHeight="1" x14ac:dyDescent="0.15">
      <c r="A116" s="10">
        <v>2022</v>
      </c>
      <c r="B116" s="10">
        <f t="shared" si="60"/>
        <v>2</v>
      </c>
      <c r="C116" s="67">
        <f t="shared" si="56"/>
        <v>44593</v>
      </c>
      <c r="D116" s="38">
        <f t="shared" si="49"/>
        <v>44607</v>
      </c>
      <c r="E116" s="37">
        <f t="shared" si="57"/>
        <v>44607</v>
      </c>
      <c r="F116" s="14" t="str">
        <f t="shared" si="58"/>
        <v>南 博之</v>
      </c>
      <c r="H116" s="72"/>
      <c r="I116" s="81"/>
      <c r="J116" s="81"/>
      <c r="K116" s="81"/>
      <c r="L116" s="81"/>
      <c r="M116" s="81"/>
      <c r="N116" s="81"/>
      <c r="O116" s="115"/>
      <c r="P116" s="115"/>
      <c r="Q116" s="115">
        <v>1</v>
      </c>
      <c r="R116" s="115"/>
      <c r="S116" s="81"/>
      <c r="T116" s="81"/>
      <c r="U116" s="81"/>
      <c r="V116" s="81"/>
      <c r="W116" s="81"/>
      <c r="X116" s="115"/>
      <c r="Y116" s="81"/>
      <c r="Z116" s="81"/>
      <c r="AA116" s="81"/>
      <c r="AB116" s="81"/>
      <c r="AC116" s="81"/>
      <c r="AD116" s="81"/>
      <c r="AE116" s="81"/>
      <c r="AF116" s="81"/>
      <c r="AG116" s="81"/>
      <c r="AH116" s="81"/>
      <c r="AI116" s="81"/>
      <c r="AJ116" s="89"/>
      <c r="AK116" s="89"/>
      <c r="AL116" s="89"/>
      <c r="AM116" s="65"/>
      <c r="AN116" s="66"/>
      <c r="AR116" s="69" t="str">
        <f>IFERROR(HLOOKUP(D116,[28]明!$D$1:$AH$4,AR$3,FALSE),"")</f>
        <v>南</v>
      </c>
      <c r="AS116" s="69" t="str">
        <f>IFERROR(HLOOKUP(E116,[28]明!$D$1:$AH$4,AS$3,FALSE),"")</f>
        <v>田村</v>
      </c>
      <c r="AT116" s="29" t="str">
        <f>IFERROR(HLOOKUP($D116,[28]●!$D$1:$AH$10,AT$3,FALSE),"")</f>
        <v>薬司</v>
      </c>
      <c r="AU116" s="29" t="str">
        <f>IFERROR(HLOOKUP($D116,[28]●!$D$1:$AH$10,AU$3,FALSE),"")</f>
        <v/>
      </c>
      <c r="AV116" s="29" t="str">
        <f>IFERROR(HLOOKUP($D116,[28]●!$D$1:$AH$10,AV$3,FALSE),"")</f>
        <v/>
      </c>
      <c r="AW116" s="29" t="str">
        <f>IFERROR(HLOOKUP($D116,[28]●!$D$1:$AH$10,AW$3,FALSE),"")</f>
        <v/>
      </c>
      <c r="AX116" s="29" t="str">
        <f>IFERROR(HLOOKUP($D116,[28]●!$D$1:$AH$10,AX$3,FALSE),"")</f>
        <v/>
      </c>
      <c r="AY116" s="29" t="str">
        <f>IFERROR(HLOOKUP($D116,[28]●!$D$1:$AH$10,AY$3,FALSE),"")</f>
        <v/>
      </c>
    </row>
    <row r="117" spans="1:51" ht="13.9" customHeight="1" x14ac:dyDescent="0.15">
      <c r="A117" s="10">
        <v>2022</v>
      </c>
      <c r="B117" s="10">
        <f t="shared" si="60"/>
        <v>2</v>
      </c>
      <c r="C117" s="67">
        <f t="shared" si="56"/>
        <v>44593</v>
      </c>
      <c r="D117" s="36">
        <f t="shared" si="50"/>
        <v>44615</v>
      </c>
      <c r="E117" s="37">
        <f t="shared" si="57"/>
        <v>44615</v>
      </c>
      <c r="F117" s="14" t="str">
        <f t="shared" si="58"/>
        <v/>
      </c>
      <c r="H117" s="72"/>
      <c r="I117" s="81"/>
      <c r="J117" s="81"/>
      <c r="K117" s="81"/>
      <c r="L117" s="81"/>
      <c r="M117" s="81"/>
      <c r="N117" s="81"/>
      <c r="O117" s="115"/>
      <c r="P117" s="115"/>
      <c r="Q117" s="115"/>
      <c r="R117" s="115"/>
      <c r="S117" s="81"/>
      <c r="T117" s="81"/>
      <c r="U117" s="81"/>
      <c r="V117" s="81"/>
      <c r="W117" s="81"/>
      <c r="X117" s="115"/>
      <c r="Y117" s="81"/>
      <c r="Z117" s="81"/>
      <c r="AA117" s="81"/>
      <c r="AB117" s="81"/>
      <c r="AC117" s="81"/>
      <c r="AD117" s="81"/>
      <c r="AE117" s="81"/>
      <c r="AF117" s="81"/>
      <c r="AG117" s="81"/>
      <c r="AH117" s="81"/>
      <c r="AI117" s="81"/>
      <c r="AJ117" s="89"/>
      <c r="AK117" s="89"/>
      <c r="AL117" s="89"/>
      <c r="AM117" s="65"/>
      <c r="AN117" s="66"/>
      <c r="AR117" s="69" t="str">
        <f>IFERROR(HLOOKUP(D117,[28]明!$D$1:$AH$4,AR$3,FALSE),"")</f>
        <v>齊藤</v>
      </c>
      <c r="AS117" s="69" t="str">
        <f>IFERROR(HLOOKUP(E117,[28]明!$D$1:$AH$4,AS$3,FALSE),"")</f>
        <v>佐藤恵</v>
      </c>
      <c r="AT117" s="29" t="str">
        <f>IFERROR(HLOOKUP($D117,[28]●!$D$1:$AH$10,AT$3,FALSE),"")</f>
        <v>宮崎</v>
      </c>
      <c r="AU117" s="29" t="str">
        <f>IFERROR(HLOOKUP($D117,[28]●!$D$1:$AH$10,AU$3,FALSE),"")</f>
        <v>山下</v>
      </c>
      <c r="AV117" s="29" t="str">
        <f>IFERROR(HLOOKUP($D117,[28]●!$D$1:$AH$10,AV$3,FALSE),"")</f>
        <v>山村</v>
      </c>
      <c r="AW117" s="29" t="str">
        <f>IFERROR(HLOOKUP($D117,[28]●!$D$1:$AH$10,AW$3,FALSE),"")</f>
        <v>長田</v>
      </c>
      <c r="AX117" s="29" t="str">
        <f>IFERROR(HLOOKUP($D117,[28]●!$D$1:$AH$10,AX$3,FALSE),"")</f>
        <v>中井</v>
      </c>
      <c r="AY117" s="29" t="str">
        <f>IFERROR(HLOOKUP($D117,[28]●!$D$1:$AH$10,AY$3,FALSE),"")</f>
        <v>北</v>
      </c>
    </row>
    <row r="118" spans="1:51" ht="13.9" customHeight="1" x14ac:dyDescent="0.15">
      <c r="A118" s="10">
        <v>2022</v>
      </c>
      <c r="B118" s="10">
        <f t="shared" si="60"/>
        <v>3</v>
      </c>
      <c r="C118" s="67">
        <f t="shared" si="56"/>
        <v>44621</v>
      </c>
      <c r="D118" s="36">
        <f t="shared" si="48"/>
        <v>44629</v>
      </c>
      <c r="E118" s="37">
        <f t="shared" si="57"/>
        <v>44629</v>
      </c>
      <c r="F118" s="14" t="str">
        <f t="shared" si="58"/>
        <v>齊藤 久紘</v>
      </c>
      <c r="H118" s="72"/>
      <c r="I118" s="81"/>
      <c r="J118" s="81"/>
      <c r="K118" s="81"/>
      <c r="L118" s="81"/>
      <c r="M118" s="81"/>
      <c r="N118" s="81"/>
      <c r="O118" s="115"/>
      <c r="P118" s="115"/>
      <c r="Q118" s="115"/>
      <c r="R118" s="115"/>
      <c r="S118" s="81"/>
      <c r="T118" s="81"/>
      <c r="U118" s="81"/>
      <c r="V118" s="81"/>
      <c r="W118" s="81"/>
      <c r="X118" s="115"/>
      <c r="Y118" s="81"/>
      <c r="Z118" s="81"/>
      <c r="AA118" s="81"/>
      <c r="AB118" s="81">
        <v>1</v>
      </c>
      <c r="AC118" s="81"/>
      <c r="AD118" s="81"/>
      <c r="AE118" s="81"/>
      <c r="AF118" s="81"/>
      <c r="AG118" s="81"/>
      <c r="AH118" s="81"/>
      <c r="AI118" s="81"/>
      <c r="AJ118" s="81"/>
      <c r="AK118" s="81"/>
      <c r="AL118" s="81"/>
      <c r="AM118" s="64"/>
      <c r="AN118" s="66"/>
      <c r="AR118" s="69" t="str">
        <f>IFERROR(HLOOKUP(D118,[29]明!$D$1:$AH$4,AR$3,FALSE),"")</f>
        <v>齊藤</v>
      </c>
      <c r="AS118" s="69" t="str">
        <f>IFERROR(HLOOKUP(E118,[29]明!$D$1:$AH$4,AS$3,FALSE),"")</f>
        <v>加藤</v>
      </c>
      <c r="AT118" s="29" t="str">
        <f>IFERROR(HLOOKUP($D118,[29]●!$D$1:$AH$10,AT$3,FALSE),"")</f>
        <v>林</v>
      </c>
      <c r="AU118" s="29" t="str">
        <f>IFERROR(HLOOKUP($D118,[29]●!$D$1:$AH$10,AU$3,FALSE),"")</f>
        <v/>
      </c>
      <c r="AV118" s="29" t="str">
        <f>IFERROR(HLOOKUP($D118,[29]●!$D$1:$AH$10,AV$3,FALSE),"")</f>
        <v/>
      </c>
      <c r="AW118" s="29" t="str">
        <f>IFERROR(HLOOKUP($D118,[29]●!$D$1:$AH$10,AW$3,FALSE),"")</f>
        <v/>
      </c>
      <c r="AX118" s="29" t="str">
        <f>IFERROR(HLOOKUP($D118,[29]●!$D$1:$AH$10,AX$3,FALSE),"")</f>
        <v/>
      </c>
      <c r="AY118" s="29" t="str">
        <f>IFERROR(HLOOKUP($D118,[29]●!$D$1:$AH$10,AY$3,FALSE),"")</f>
        <v/>
      </c>
    </row>
    <row r="119" spans="1:51" ht="13.9" customHeight="1" x14ac:dyDescent="0.15">
      <c r="A119" s="10">
        <v>2022</v>
      </c>
      <c r="B119" s="10">
        <f t="shared" si="60"/>
        <v>3</v>
      </c>
      <c r="C119" s="67">
        <f t="shared" si="56"/>
        <v>44621</v>
      </c>
      <c r="D119" s="38">
        <f t="shared" si="49"/>
        <v>44635</v>
      </c>
      <c r="E119" s="37">
        <f t="shared" si="57"/>
        <v>44635</v>
      </c>
      <c r="F119" s="14" t="str">
        <f t="shared" si="58"/>
        <v/>
      </c>
      <c r="H119" s="72"/>
      <c r="I119" s="81"/>
      <c r="J119" s="81"/>
      <c r="K119" s="81"/>
      <c r="L119" s="81"/>
      <c r="M119" s="81"/>
      <c r="N119" s="81"/>
      <c r="O119" s="115"/>
      <c r="P119" s="115"/>
      <c r="Q119" s="115"/>
      <c r="R119" s="115"/>
      <c r="S119" s="81"/>
      <c r="T119" s="81"/>
      <c r="U119" s="81"/>
      <c r="V119" s="81"/>
      <c r="W119" s="81"/>
      <c r="X119" s="115"/>
      <c r="Y119" s="81"/>
      <c r="Z119" s="81"/>
      <c r="AA119" s="81"/>
      <c r="AB119" s="81"/>
      <c r="AC119" s="81"/>
      <c r="AD119" s="81"/>
      <c r="AE119" s="81"/>
      <c r="AF119" s="81"/>
      <c r="AG119" s="81"/>
      <c r="AH119" s="81"/>
      <c r="AI119" s="81"/>
      <c r="AJ119" s="81"/>
      <c r="AK119" s="81"/>
      <c r="AL119" s="81"/>
      <c r="AM119" s="64"/>
      <c r="AN119" s="66"/>
      <c r="AR119" s="69" t="str">
        <f>IFERROR(HLOOKUP(D119,[29]明!$D$1:$AH$4,AR$3,FALSE),"")</f>
        <v>中村映</v>
      </c>
      <c r="AS119" s="69" t="str">
        <f>IFERROR(HLOOKUP(E119,[29]明!$D$1:$AH$4,AS$3,FALSE),"")</f>
        <v>澤野</v>
      </c>
      <c r="AT119" s="29" t="str">
        <f>IFERROR(HLOOKUP($D119,[29]●!$D$1:$AH$10,AT$3,FALSE),"")</f>
        <v>加藤</v>
      </c>
      <c r="AU119" s="29" t="str">
        <f>IFERROR(HLOOKUP($D119,[29]●!$D$1:$AH$10,AU$3,FALSE),"")</f>
        <v>諸田</v>
      </c>
      <c r="AV119" s="29" t="str">
        <f>IFERROR(HLOOKUP($D119,[29]●!$D$1:$AH$10,AV$3,FALSE),"")</f>
        <v/>
      </c>
      <c r="AW119" s="29" t="str">
        <f>IFERROR(HLOOKUP($D119,[29]●!$D$1:$AH$10,AW$3,FALSE),"")</f>
        <v/>
      </c>
      <c r="AX119" s="29" t="str">
        <f>IFERROR(HLOOKUP($D119,[29]●!$D$1:$AH$10,AX$3,FALSE),"")</f>
        <v/>
      </c>
      <c r="AY119" s="29" t="str">
        <f>IFERROR(HLOOKUP($D119,[29]●!$D$1:$AH$10,AY$3,FALSE),"")</f>
        <v/>
      </c>
    </row>
    <row r="120" spans="1:51" ht="13.9" customHeight="1" x14ac:dyDescent="0.15">
      <c r="A120" s="10">
        <v>2022</v>
      </c>
      <c r="B120" s="10">
        <f t="shared" si="60"/>
        <v>3</v>
      </c>
      <c r="C120" s="67">
        <f t="shared" si="56"/>
        <v>44621</v>
      </c>
      <c r="D120" s="36">
        <f t="shared" si="50"/>
        <v>44643</v>
      </c>
      <c r="E120" s="37">
        <f t="shared" si="57"/>
        <v>44643</v>
      </c>
      <c r="F120" s="14" t="str">
        <f t="shared" si="58"/>
        <v>小川 穂波</v>
      </c>
      <c r="H120" s="72"/>
      <c r="I120" s="99"/>
      <c r="J120" s="81"/>
      <c r="K120" s="81"/>
      <c r="L120" s="81"/>
      <c r="M120" s="81"/>
      <c r="N120" s="81"/>
      <c r="O120" s="115"/>
      <c r="P120" s="115"/>
      <c r="Q120" s="115"/>
      <c r="R120" s="115"/>
      <c r="S120" s="81"/>
      <c r="T120" s="81"/>
      <c r="U120" s="81"/>
      <c r="V120" s="81"/>
      <c r="W120" s="81"/>
      <c r="X120" s="115"/>
      <c r="Y120" s="81"/>
      <c r="Z120" s="81"/>
      <c r="AA120" s="81"/>
      <c r="AB120" s="81"/>
      <c r="AC120" s="81"/>
      <c r="AD120" s="81"/>
      <c r="AE120" s="81"/>
      <c r="AF120" s="81"/>
      <c r="AG120" s="81"/>
      <c r="AH120" s="81">
        <v>1</v>
      </c>
      <c r="AI120" s="81"/>
      <c r="AJ120" s="81"/>
      <c r="AK120" s="81"/>
      <c r="AL120" s="81"/>
      <c r="AM120" s="64"/>
      <c r="AN120" s="66"/>
      <c r="AR120" s="69" t="str">
        <f>IFERROR(HLOOKUP(D120,[29]明!$D$1:$AH$4,AR$3,FALSE),"")</f>
        <v>加藤</v>
      </c>
      <c r="AS120" s="69" t="str">
        <f>IFERROR(HLOOKUP(E120,[29]明!$D$1:$AH$4,AS$3,FALSE),"")</f>
        <v>佐藤穂</v>
      </c>
      <c r="AT120" s="29" t="str">
        <f>IFERROR(HLOOKUP($D120,[29]●!$D$1:$AH$10,AT$3,FALSE),"")</f>
        <v>大橋</v>
      </c>
      <c r="AU120" s="29" t="str">
        <f>IFERROR(HLOOKUP($D120,[29]●!$D$1:$AH$10,AU$3,FALSE),"")</f>
        <v>薬司</v>
      </c>
      <c r="AV120" s="29" t="str">
        <f>IFERROR(HLOOKUP($D120,[29]●!$D$1:$AH$10,AV$3,FALSE),"")</f>
        <v/>
      </c>
      <c r="AW120" s="29" t="str">
        <f>IFERROR(HLOOKUP($D120,[29]●!$D$1:$AH$10,AW$3,FALSE),"")</f>
        <v/>
      </c>
      <c r="AX120" s="29" t="str">
        <f>IFERROR(HLOOKUP($D120,[29]●!$D$1:$AH$10,AX$3,FALSE),"")</f>
        <v/>
      </c>
      <c r="AY120" s="29" t="str">
        <f>IFERROR(HLOOKUP($D120,[29]●!$D$1:$AH$10,AY$3,FALSE),"")</f>
        <v/>
      </c>
    </row>
    <row r="121" spans="1:51" ht="13.9" customHeight="1" x14ac:dyDescent="0.15">
      <c r="A121" s="10">
        <v>2022</v>
      </c>
      <c r="B121" s="10">
        <f t="shared" si="60"/>
        <v>4</v>
      </c>
      <c r="C121" s="67">
        <f t="shared" si="56"/>
        <v>44652</v>
      </c>
      <c r="D121" s="36">
        <f t="shared" si="48"/>
        <v>44664</v>
      </c>
      <c r="E121" s="37">
        <f t="shared" si="57"/>
        <v>44664</v>
      </c>
      <c r="F121" s="14" t="str">
        <f t="shared" si="58"/>
        <v>田村 能之</v>
      </c>
      <c r="H121" s="72"/>
      <c r="I121" s="99"/>
      <c r="J121" s="81"/>
      <c r="K121" s="81"/>
      <c r="L121" s="81"/>
      <c r="M121" s="81"/>
      <c r="N121" s="81"/>
      <c r="O121" s="115"/>
      <c r="P121" s="115"/>
      <c r="Q121" s="115"/>
      <c r="R121" s="115"/>
      <c r="S121" s="81"/>
      <c r="T121" s="81"/>
      <c r="U121" s="81"/>
      <c r="V121" s="81"/>
      <c r="W121" s="81"/>
      <c r="X121" s="115"/>
      <c r="Y121" s="81"/>
      <c r="Z121" s="81"/>
      <c r="AA121" s="81">
        <v>1</v>
      </c>
      <c r="AB121" s="81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  <c r="AM121" s="64"/>
      <c r="AN121" s="66"/>
      <c r="AR121" s="69" t="str">
        <f>IFERROR(HLOOKUP(D121,[30]明!$D$1:$AH$4,AR$3,FALSE),"")</f>
        <v>加藤</v>
      </c>
      <c r="AS121" s="69" t="str">
        <f>IFERROR(HLOOKUP(E121,[30]明!$D$1:$AH$4,AS$3,FALSE),"")</f>
        <v>諸田</v>
      </c>
      <c r="AT121" s="29" t="str">
        <f>IFERROR(HLOOKUP($D121,[30]●!$D$1:$AH$10,AT$3,FALSE),"")</f>
        <v>田村</v>
      </c>
      <c r="AU121" s="29" t="str">
        <f>IFERROR(HLOOKUP($D121,[30]●!$D$1:$AH$10,AU$3,FALSE),"")</f>
        <v/>
      </c>
      <c r="AV121" s="29" t="str">
        <f>IFERROR(HLOOKUP($D121,[30]●!$D$1:$AH$10,AV$3,FALSE),"")</f>
        <v/>
      </c>
      <c r="AW121" s="29" t="str">
        <f>IFERROR(HLOOKUP($D121,[30]●!$D$1:$AH$10,AW$3,FALSE),"")</f>
        <v/>
      </c>
      <c r="AX121" s="29" t="str">
        <f>IFERROR(HLOOKUP($D121,[30]●!$D$1:$AH$10,AX$3,FALSE),"")</f>
        <v/>
      </c>
      <c r="AY121" s="29" t="str">
        <f>IFERROR(HLOOKUP($D121,[30]●!$D$1:$AH$10,AY$3,FALSE),"")</f>
        <v/>
      </c>
    </row>
    <row r="122" spans="1:51" ht="13.9" customHeight="1" x14ac:dyDescent="0.15">
      <c r="A122" s="10">
        <v>2022</v>
      </c>
      <c r="B122" s="10">
        <f t="shared" si="60"/>
        <v>4</v>
      </c>
      <c r="C122" s="67">
        <f t="shared" si="56"/>
        <v>44652</v>
      </c>
      <c r="D122" s="38">
        <f t="shared" si="49"/>
        <v>44670</v>
      </c>
      <c r="E122" s="37">
        <f t="shared" si="57"/>
        <v>44670</v>
      </c>
      <c r="F122" s="14" t="str">
        <f t="shared" si="58"/>
        <v>長田 弘二</v>
      </c>
      <c r="H122" s="72"/>
      <c r="I122" s="99"/>
      <c r="J122" s="81"/>
      <c r="K122" s="81"/>
      <c r="L122" s="81"/>
      <c r="M122" s="81"/>
      <c r="N122" s="81"/>
      <c r="O122" s="115"/>
      <c r="P122" s="115"/>
      <c r="Q122" s="115"/>
      <c r="R122" s="115"/>
      <c r="S122" s="81"/>
      <c r="T122" s="81"/>
      <c r="U122" s="81"/>
      <c r="V122" s="81">
        <v>1</v>
      </c>
      <c r="W122" s="81"/>
      <c r="X122" s="115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  <c r="AM122" s="64"/>
      <c r="AN122" s="66"/>
      <c r="AR122" s="69" t="str">
        <f>IFERROR(HLOOKUP(D122,[30]明!$D$1:$AH$4,AR$3,FALSE),"")</f>
        <v>長田</v>
      </c>
      <c r="AS122" s="69" t="str">
        <f>IFERROR(HLOOKUP(E122,[30]明!$D$1:$AH$4,AS$3,FALSE),"")</f>
        <v>齊藤</v>
      </c>
      <c r="AT122" s="29" t="str">
        <f>IFERROR(HLOOKUP($D122,[30]●!$D$1:$AH$10,AT$3,FALSE),"")</f>
        <v>南</v>
      </c>
      <c r="AU122" s="29" t="str">
        <f>IFERROR(HLOOKUP($D122,[30]●!$D$1:$AH$10,AU$3,FALSE),"")</f>
        <v>佐藤恵</v>
      </c>
      <c r="AV122" s="29" t="str">
        <f>IFERROR(HLOOKUP($D122,[30]●!$D$1:$AH$10,AV$3,FALSE),"")</f>
        <v/>
      </c>
      <c r="AW122" s="29" t="str">
        <f>IFERROR(HLOOKUP($D122,[30]●!$D$1:$AH$10,AW$3,FALSE),"")</f>
        <v/>
      </c>
      <c r="AX122" s="29" t="str">
        <f>IFERROR(HLOOKUP($D122,[30]●!$D$1:$AH$10,AX$3,FALSE),"")</f>
        <v/>
      </c>
      <c r="AY122" s="29" t="str">
        <f>IFERROR(HLOOKUP($D122,[30]●!$D$1:$AH$10,AY$3,FALSE),"")</f>
        <v/>
      </c>
    </row>
    <row r="123" spans="1:51" ht="13.9" customHeight="1" x14ac:dyDescent="0.15">
      <c r="A123" s="10">
        <v>2022</v>
      </c>
      <c r="B123" s="10">
        <f t="shared" si="60"/>
        <v>4</v>
      </c>
      <c r="C123" s="67">
        <f t="shared" si="56"/>
        <v>44652</v>
      </c>
      <c r="D123" s="36">
        <f t="shared" si="50"/>
        <v>44678</v>
      </c>
      <c r="E123" s="37">
        <f t="shared" si="57"/>
        <v>44678</v>
      </c>
      <c r="F123" s="14" t="str">
        <f t="shared" si="58"/>
        <v>別所　貴仁</v>
      </c>
      <c r="H123" s="72"/>
      <c r="I123" s="99"/>
      <c r="J123" s="81"/>
      <c r="K123" s="81"/>
      <c r="L123" s="81"/>
      <c r="M123" s="81"/>
      <c r="N123" s="81">
        <v>1</v>
      </c>
      <c r="O123" s="115"/>
      <c r="P123" s="115"/>
      <c r="Q123" s="115"/>
      <c r="R123" s="115"/>
      <c r="S123" s="81"/>
      <c r="T123" s="81"/>
      <c r="U123" s="81"/>
      <c r="V123" s="81"/>
      <c r="W123" s="81"/>
      <c r="X123" s="115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  <c r="AM123" s="64"/>
      <c r="AN123" s="66"/>
      <c r="AR123" s="69" t="str">
        <f>IFERROR(HLOOKUP(D123,[30]明!$D$1:$AH$4,AR$3,FALSE),"")</f>
        <v>齊藤</v>
      </c>
      <c r="AS123" s="69" t="str">
        <f>IFERROR(HLOOKUP(E123,[30]明!$D$1:$AH$4,AS$3,FALSE),"")</f>
        <v>西郡</v>
      </c>
      <c r="AT123" s="29" t="str">
        <f>IFERROR(HLOOKUP($D123,[30]●!$D$1:$AH$10,AT$3,FALSE),"")</f>
        <v>清水</v>
      </c>
      <c r="AU123" s="29" t="str">
        <f>IFERROR(HLOOKUP($D123,[30]●!$D$1:$AH$10,AU$3,FALSE),"")</f>
        <v>林</v>
      </c>
      <c r="AV123" s="29" t="str">
        <f>IFERROR(HLOOKUP($D123,[30]●!$D$1:$AH$10,AV$3,FALSE),"")</f>
        <v/>
      </c>
      <c r="AW123" s="29" t="str">
        <f>IFERROR(HLOOKUP($D123,[30]●!$D$1:$AH$10,AW$3,FALSE),"")</f>
        <v/>
      </c>
      <c r="AX123" s="29" t="str">
        <f>IFERROR(HLOOKUP($D123,[30]●!$D$1:$AH$10,AX$3,FALSE),"")</f>
        <v/>
      </c>
      <c r="AY123" s="29" t="str">
        <f>IFERROR(HLOOKUP($D123,[30]●!$D$1:$AH$10,AY$3,FALSE),"")</f>
        <v/>
      </c>
    </row>
    <row r="124" spans="1:51" ht="13.9" customHeight="1" x14ac:dyDescent="0.15">
      <c r="A124" s="10">
        <v>2022</v>
      </c>
      <c r="B124" s="10">
        <f t="shared" si="60"/>
        <v>5</v>
      </c>
      <c r="C124" s="67">
        <f t="shared" si="56"/>
        <v>44682</v>
      </c>
      <c r="D124" s="36">
        <f t="shared" si="48"/>
        <v>44692</v>
      </c>
      <c r="E124" s="37">
        <f t="shared" si="57"/>
        <v>44692</v>
      </c>
      <c r="F124" s="14" t="str">
        <f t="shared" si="58"/>
        <v>加藤 靖博</v>
      </c>
      <c r="H124" s="72"/>
      <c r="I124" s="99"/>
      <c r="J124" s="81"/>
      <c r="K124" s="81"/>
      <c r="L124" s="81"/>
      <c r="M124" s="81"/>
      <c r="N124" s="81"/>
      <c r="O124" s="115"/>
      <c r="P124" s="115"/>
      <c r="Q124" s="115"/>
      <c r="R124" s="115"/>
      <c r="S124" s="81"/>
      <c r="T124" s="81"/>
      <c r="U124" s="81"/>
      <c r="V124" s="81"/>
      <c r="W124" s="81"/>
      <c r="X124" s="115"/>
      <c r="Y124" s="81"/>
      <c r="Z124" s="81"/>
      <c r="AA124" s="81"/>
      <c r="AB124" s="81"/>
      <c r="AC124" s="81"/>
      <c r="AD124" s="81"/>
      <c r="AE124" s="81">
        <v>1</v>
      </c>
      <c r="AF124" s="81"/>
      <c r="AG124" s="81"/>
      <c r="AH124" s="81"/>
      <c r="AI124" s="81"/>
      <c r="AJ124" s="81"/>
      <c r="AK124" s="81"/>
      <c r="AL124" s="81"/>
      <c r="AM124" s="64"/>
      <c r="AN124" s="64"/>
      <c r="AR124" s="69" t="str">
        <f>IFERROR(HLOOKUP(D124,[31]明!$D$1:$AH$4,AR$3,FALSE),"")</f>
        <v>澤野</v>
      </c>
      <c r="AS124" s="69" t="str">
        <f>IFERROR(HLOOKUP(E124,[31]明!$D$1:$AH$4,AS$3,FALSE),"")</f>
        <v>加藤</v>
      </c>
      <c r="AT124" s="29" t="str">
        <f>IFERROR(HLOOKUP($D124,[31]●!$D$1:$AH$10,AT$3,FALSE),"")</f>
        <v>南</v>
      </c>
      <c r="AU124" s="29" t="str">
        <f>IFERROR(HLOOKUP($D124,[31]●!$D$1:$AH$10,AU$3,FALSE),"")</f>
        <v>齊藤</v>
      </c>
      <c r="AV124" s="29" t="str">
        <f>IFERROR(HLOOKUP($D124,[31]●!$D$1:$AH$10,AV$3,FALSE),"")</f>
        <v>西郡</v>
      </c>
      <c r="AW124" s="29" t="str">
        <f>IFERROR(HLOOKUP($D124,[31]●!$D$1:$AH$10,AW$3,FALSE),"")</f>
        <v>松木</v>
      </c>
      <c r="AX124" s="29" t="str">
        <f>IFERROR(HLOOKUP($D124,[31]●!$D$1:$AH$10,AX$3,FALSE),"")</f>
        <v/>
      </c>
      <c r="AY124" s="29" t="str">
        <f>IFERROR(HLOOKUP($D124,[31]●!$D$1:$AH$10,AY$3,FALSE),"")</f>
        <v/>
      </c>
    </row>
    <row r="125" spans="1:51" ht="13.9" customHeight="1" x14ac:dyDescent="0.15">
      <c r="A125" s="10">
        <v>2022</v>
      </c>
      <c r="B125" s="10">
        <f t="shared" si="60"/>
        <v>5</v>
      </c>
      <c r="C125" s="67">
        <f t="shared" si="56"/>
        <v>44682</v>
      </c>
      <c r="D125" s="38">
        <f t="shared" si="49"/>
        <v>44698</v>
      </c>
      <c r="E125" s="37">
        <f t="shared" si="57"/>
        <v>44698</v>
      </c>
      <c r="F125" s="14" t="str">
        <f t="shared" si="58"/>
        <v>小竹　祐太朗　</v>
      </c>
      <c r="H125" s="72"/>
      <c r="I125" s="99"/>
      <c r="J125" s="81"/>
      <c r="K125" s="81"/>
      <c r="L125" s="81"/>
      <c r="M125" s="81">
        <v>1</v>
      </c>
      <c r="N125" s="81"/>
      <c r="O125" s="115"/>
      <c r="P125" s="115"/>
      <c r="Q125" s="115"/>
      <c r="R125" s="115"/>
      <c r="S125" s="81"/>
      <c r="T125" s="81"/>
      <c r="U125" s="81"/>
      <c r="V125" s="81"/>
      <c r="W125" s="81"/>
      <c r="X125" s="115"/>
      <c r="Y125" s="81"/>
      <c r="Z125" s="81"/>
      <c r="AA125" s="81"/>
      <c r="AB125" s="81"/>
      <c r="AC125" s="81"/>
      <c r="AD125" s="81"/>
      <c r="AE125" s="81"/>
      <c r="AF125" s="81"/>
      <c r="AG125" s="81"/>
      <c r="AH125" s="81"/>
      <c r="AI125" s="81"/>
      <c r="AJ125" s="81"/>
      <c r="AK125" s="81"/>
      <c r="AL125" s="81"/>
      <c r="AM125" s="64"/>
      <c r="AN125" s="64"/>
      <c r="AR125" s="69" t="str">
        <f>IFERROR(HLOOKUP(D125,[31]明!$D$1:$AH$4,AR$3,FALSE),"")</f>
        <v>山本</v>
      </c>
      <c r="AS125" s="69" t="str">
        <f>IFERROR(HLOOKUP(E125,[31]明!$D$1:$AH$4,AS$3,FALSE),"")</f>
        <v>加藤</v>
      </c>
      <c r="AT125" s="29" t="str">
        <f>IFERROR(HLOOKUP($D125,[31]●!$D$1:$AH$10,AT$3,FALSE),"")</f>
        <v>山下</v>
      </c>
      <c r="AU125" s="29" t="str">
        <f>IFERROR(HLOOKUP($D125,[31]●!$D$1:$AH$10,AU$3,FALSE),"")</f>
        <v>佐藤恵</v>
      </c>
      <c r="AV125" s="29" t="str">
        <f>IFERROR(HLOOKUP($D125,[31]●!$D$1:$AH$10,AV$3,FALSE),"")</f>
        <v>本田</v>
      </c>
      <c r="AW125" s="29" t="str">
        <f>IFERROR(HLOOKUP($D125,[31]●!$D$1:$AH$10,AW$3,FALSE),"")</f>
        <v/>
      </c>
      <c r="AX125" s="29" t="str">
        <f>IFERROR(HLOOKUP($D125,[31]●!$D$1:$AH$10,AX$3,FALSE),"")</f>
        <v/>
      </c>
      <c r="AY125" s="29" t="str">
        <f>IFERROR(HLOOKUP($D125,[31]●!$D$1:$AH$10,AY$3,FALSE),"")</f>
        <v/>
      </c>
    </row>
    <row r="126" spans="1:51" ht="13.9" customHeight="1" x14ac:dyDescent="0.15">
      <c r="A126" s="10">
        <v>2022</v>
      </c>
      <c r="B126" s="10">
        <f t="shared" si="60"/>
        <v>5</v>
      </c>
      <c r="C126" s="67">
        <f t="shared" si="56"/>
        <v>44682</v>
      </c>
      <c r="D126" s="36">
        <f t="shared" si="50"/>
        <v>44706</v>
      </c>
      <c r="E126" s="37">
        <f t="shared" si="57"/>
        <v>44706</v>
      </c>
      <c r="F126" s="14" t="str">
        <f t="shared" si="58"/>
        <v>諸田　悠也</v>
      </c>
      <c r="H126" s="72"/>
      <c r="I126" s="72"/>
      <c r="J126" s="72"/>
      <c r="K126" s="72"/>
      <c r="L126" s="72"/>
      <c r="M126" s="72"/>
      <c r="N126" s="72"/>
      <c r="O126" s="104"/>
      <c r="P126" s="104"/>
      <c r="Q126" s="104"/>
      <c r="R126" s="104"/>
      <c r="S126" s="72"/>
      <c r="T126" s="72"/>
      <c r="U126" s="72"/>
      <c r="V126" s="72"/>
      <c r="W126" s="72"/>
      <c r="X126" s="104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>
        <v>1</v>
      </c>
      <c r="AL126" s="72"/>
      <c r="AM126" s="63"/>
      <c r="AN126" s="63"/>
      <c r="AR126" s="69" t="str">
        <f>IFERROR(HLOOKUP(D126,[31]明!$D$1:$AH$4,AR$3,FALSE),"")</f>
        <v>加藤</v>
      </c>
      <c r="AS126" s="69" t="str">
        <f>IFERROR(HLOOKUP(E126,[31]明!$D$1:$AH$4,AS$3,FALSE),"")</f>
        <v>諸田</v>
      </c>
      <c r="AT126" s="29" t="str">
        <f>IFERROR(HLOOKUP($D126,[31]●!$D$1:$AH$10,AT$3,FALSE),"")</f>
        <v>長田</v>
      </c>
      <c r="AU126" s="29" t="str">
        <f>IFERROR(HLOOKUP($D126,[31]●!$D$1:$AH$10,AU$3,FALSE),"")</f>
        <v>齊藤</v>
      </c>
      <c r="AV126" s="29" t="str">
        <f>IFERROR(HLOOKUP($D126,[31]●!$D$1:$AH$10,AV$3,FALSE),"")</f>
        <v>松木</v>
      </c>
      <c r="AW126" s="29" t="str">
        <f>IFERROR(HLOOKUP($D126,[31]●!$D$1:$AH$10,AW$3,FALSE),"")</f>
        <v/>
      </c>
      <c r="AX126" s="29" t="str">
        <f>IFERROR(HLOOKUP($D126,[31]●!$D$1:$AH$10,AX$3,FALSE),"")</f>
        <v/>
      </c>
      <c r="AY126" s="29" t="str">
        <f>IFERROR(HLOOKUP($D126,[31]●!$D$1:$AH$10,AY$3,FALSE),"")</f>
        <v/>
      </c>
    </row>
    <row r="127" spans="1:51" ht="13.9" customHeight="1" x14ac:dyDescent="0.15">
      <c r="A127" s="10">
        <v>2022</v>
      </c>
      <c r="B127" s="10">
        <f t="shared" si="60"/>
        <v>6</v>
      </c>
      <c r="C127" s="67">
        <f t="shared" si="56"/>
        <v>44713</v>
      </c>
      <c r="D127" s="36">
        <f t="shared" si="48"/>
        <v>44720</v>
      </c>
      <c r="E127" s="37">
        <f t="shared" si="57"/>
        <v>44720</v>
      </c>
      <c r="F127" s="14" t="str">
        <f t="shared" si="58"/>
        <v>山本 浩之</v>
      </c>
      <c r="H127" s="72"/>
      <c r="I127" s="72"/>
      <c r="J127" s="72"/>
      <c r="K127" s="72"/>
      <c r="L127" s="72"/>
      <c r="M127" s="72"/>
      <c r="N127" s="72"/>
      <c r="O127" s="104"/>
      <c r="P127" s="104">
        <v>1</v>
      </c>
      <c r="Q127" s="104"/>
      <c r="R127" s="104"/>
      <c r="S127" s="72"/>
      <c r="T127" s="72"/>
      <c r="U127" s="72"/>
      <c r="V127" s="72"/>
      <c r="W127" s="72"/>
      <c r="X127" s="104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63"/>
      <c r="AN127" s="63"/>
      <c r="AR127" s="69" t="str">
        <f>IFERROR(HLOOKUP(D127,[32]明!$D$1:$AH$4,AR$3,FALSE),"")</f>
        <v>山本</v>
      </c>
      <c r="AS127" s="69" t="str">
        <f>IFERROR(HLOOKUP(E127,[32]明!$D$1:$AH$4,AS$3,FALSE),"")</f>
        <v>田村</v>
      </c>
      <c r="AT127" s="29" t="str">
        <f>IFERROR(HLOOKUP($D127,[32]●!$D$1:$AH$10,AT$3,FALSE),"")</f>
        <v>庵</v>
      </c>
      <c r="AU127" s="29" t="str">
        <f>IFERROR(HLOOKUP($D127,[32]●!$D$1:$AH$10,AU$3,FALSE),"")</f>
        <v>諸田</v>
      </c>
      <c r="AV127" s="29" t="str">
        <f>IFERROR(HLOOKUP($D127,[32]●!$D$1:$AH$10,AV$3,FALSE),"")</f>
        <v/>
      </c>
      <c r="AW127" s="29" t="str">
        <f>IFERROR(HLOOKUP($D127,[32]●!$D$1:$AH$10,AW$3,FALSE),"")</f>
        <v/>
      </c>
      <c r="AX127" s="29" t="str">
        <f>IFERROR(HLOOKUP($D127,[32]●!$D$1:$AH$10,AX$3,FALSE),"")</f>
        <v/>
      </c>
      <c r="AY127" s="29" t="str">
        <f>IFERROR(HLOOKUP($D127,[32]●!$D$1:$AH$10,AY$3,FALSE),"")</f>
        <v/>
      </c>
    </row>
    <row r="128" spans="1:51" ht="13.9" customHeight="1" x14ac:dyDescent="0.15">
      <c r="A128" s="10">
        <v>2022</v>
      </c>
      <c r="B128" s="10">
        <f t="shared" si="60"/>
        <v>6</v>
      </c>
      <c r="C128" s="67">
        <f t="shared" si="56"/>
        <v>44713</v>
      </c>
      <c r="D128" s="38">
        <f t="shared" si="49"/>
        <v>44733</v>
      </c>
      <c r="E128" s="37">
        <f t="shared" si="57"/>
        <v>44733</v>
      </c>
      <c r="F128" s="14" t="str">
        <f t="shared" si="58"/>
        <v>別所　貴仁</v>
      </c>
      <c r="H128" s="72"/>
      <c r="I128" s="72"/>
      <c r="J128" s="72"/>
      <c r="K128" s="72"/>
      <c r="L128" s="72"/>
      <c r="M128" s="72"/>
      <c r="N128" s="72">
        <v>1</v>
      </c>
      <c r="O128" s="104"/>
      <c r="P128" s="104"/>
      <c r="Q128" s="104"/>
      <c r="R128" s="104"/>
      <c r="S128" s="72"/>
      <c r="T128" s="72"/>
      <c r="U128" s="72"/>
      <c r="V128" s="72"/>
      <c r="W128" s="72"/>
      <c r="X128" s="104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63"/>
      <c r="AN128" s="63"/>
      <c r="AR128" s="69" t="str">
        <f>IFERROR(HLOOKUP(D128,[32]明!$D$1:$AH$4,AR$3,FALSE),"")</f>
        <v>南</v>
      </c>
      <c r="AS128" s="69" t="str">
        <f>IFERROR(HLOOKUP(E128,[32]明!$D$1:$AH$4,AS$3,FALSE),"")</f>
        <v>加藤</v>
      </c>
      <c r="AT128" s="29" t="str">
        <f>IFERROR(HLOOKUP($D128,[32]●!$D$1:$AH$10,AT$3,FALSE),"")</f>
        <v>清水</v>
      </c>
      <c r="AU128" s="29" t="str">
        <f>IFERROR(HLOOKUP($D128,[32]●!$D$1:$AH$10,AU$3,FALSE),"")</f>
        <v>福知</v>
      </c>
      <c r="AV128" s="29" t="str">
        <f>IFERROR(HLOOKUP($D128,[32]●!$D$1:$AH$10,AV$3,FALSE),"")</f>
        <v/>
      </c>
      <c r="AW128" s="29" t="str">
        <f>IFERROR(HLOOKUP($D128,[32]●!$D$1:$AH$10,AW$3,FALSE),"")</f>
        <v/>
      </c>
      <c r="AX128" s="29" t="str">
        <f>IFERROR(HLOOKUP($D128,[32]●!$D$1:$AH$10,AX$3,FALSE),"")</f>
        <v/>
      </c>
      <c r="AY128" s="29" t="str">
        <f>IFERROR(HLOOKUP($D128,[32]●!$D$1:$AH$10,AY$3,FALSE),"")</f>
        <v/>
      </c>
    </row>
    <row r="129" spans="1:51" ht="13.9" customHeight="1" x14ac:dyDescent="0.15">
      <c r="A129" s="10">
        <v>2022</v>
      </c>
      <c r="B129" s="10">
        <f t="shared" si="60"/>
        <v>6</v>
      </c>
      <c r="C129" s="67">
        <f t="shared" si="56"/>
        <v>44713</v>
      </c>
      <c r="D129" s="36">
        <f t="shared" si="50"/>
        <v>44734</v>
      </c>
      <c r="E129" s="37">
        <f t="shared" si="57"/>
        <v>44734</v>
      </c>
      <c r="F129" s="14" t="str">
        <f t="shared" si="58"/>
        <v>庵　緋沙子</v>
      </c>
      <c r="H129" s="72"/>
      <c r="I129" s="72"/>
      <c r="J129" s="72"/>
      <c r="K129" s="72"/>
      <c r="L129" s="72"/>
      <c r="M129" s="72"/>
      <c r="N129" s="72"/>
      <c r="O129" s="104"/>
      <c r="P129" s="104"/>
      <c r="Q129" s="104"/>
      <c r="R129" s="104"/>
      <c r="S129" s="72"/>
      <c r="T129" s="72"/>
      <c r="U129" s="72"/>
      <c r="V129" s="72"/>
      <c r="W129" s="72"/>
      <c r="X129" s="104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>
        <v>1</v>
      </c>
      <c r="AM129" s="63"/>
      <c r="AN129" s="63"/>
      <c r="AR129" s="69" t="str">
        <f>IFERROR(HLOOKUP(D129,[32]明!$D$1:$AH$4,AR$3,FALSE),"")</f>
        <v>澤野</v>
      </c>
      <c r="AS129" s="69" t="str">
        <f>IFERROR(HLOOKUP(E129,[32]明!$D$1:$AH$4,AS$3,FALSE),"")</f>
        <v>松木</v>
      </c>
      <c r="AT129" s="29" t="str">
        <f>IFERROR(HLOOKUP($D129,[32]●!$D$1:$AH$10,AT$3,FALSE),"")</f>
        <v>樫田</v>
      </c>
      <c r="AU129" s="29" t="str">
        <f>IFERROR(HLOOKUP($D129,[32]●!$D$1:$AH$10,AU$3,FALSE),"")</f>
        <v/>
      </c>
      <c r="AV129" s="29" t="str">
        <f>IFERROR(HLOOKUP($D129,[32]●!$D$1:$AH$10,AV$3,FALSE),"")</f>
        <v/>
      </c>
      <c r="AW129" s="29" t="str">
        <f>IFERROR(HLOOKUP($D129,[32]●!$D$1:$AH$10,AW$3,FALSE),"")</f>
        <v/>
      </c>
      <c r="AX129" s="29" t="str">
        <f>IFERROR(HLOOKUP($D129,[32]●!$D$1:$AH$10,AX$3,FALSE),"")</f>
        <v/>
      </c>
      <c r="AY129" s="29" t="str">
        <f>IFERROR(HLOOKUP($D129,[32]●!$D$1:$AH$10,AY$3,FALSE),"")</f>
        <v/>
      </c>
    </row>
    <row r="130" spans="1:51" ht="13.9" customHeight="1" x14ac:dyDescent="0.15">
      <c r="A130" s="10">
        <v>2022</v>
      </c>
      <c r="B130" s="10">
        <f t="shared" si="60"/>
        <v>7</v>
      </c>
      <c r="C130" s="67">
        <f t="shared" si="56"/>
        <v>44743</v>
      </c>
      <c r="D130" s="36">
        <f t="shared" si="48"/>
        <v>44755</v>
      </c>
      <c r="E130" s="37">
        <f t="shared" si="57"/>
        <v>44755</v>
      </c>
      <c r="F130" s="14" t="str">
        <f t="shared" si="58"/>
        <v>加藤 靖博</v>
      </c>
      <c r="H130" s="72"/>
      <c r="I130" s="72"/>
      <c r="J130" s="72"/>
      <c r="K130" s="72"/>
      <c r="L130" s="72"/>
      <c r="M130" s="72"/>
      <c r="N130" s="72"/>
      <c r="O130" s="104"/>
      <c r="P130" s="104"/>
      <c r="Q130" s="104"/>
      <c r="R130" s="104"/>
      <c r="S130" s="72"/>
      <c r="T130" s="72"/>
      <c r="U130" s="72"/>
      <c r="V130" s="72"/>
      <c r="W130" s="72"/>
      <c r="X130" s="104"/>
      <c r="Y130" s="72"/>
      <c r="Z130" s="72"/>
      <c r="AA130" s="72"/>
      <c r="AB130" s="72"/>
      <c r="AC130" s="72"/>
      <c r="AD130" s="72"/>
      <c r="AE130" s="72">
        <v>1</v>
      </c>
      <c r="AF130" s="72"/>
      <c r="AG130" s="72"/>
      <c r="AH130" s="72"/>
      <c r="AI130" s="72"/>
      <c r="AJ130" s="72"/>
      <c r="AK130" s="72"/>
      <c r="AL130" s="72"/>
      <c r="AM130" s="63"/>
      <c r="AN130" s="63"/>
      <c r="AR130" s="69" t="str">
        <f>IFERROR(HLOOKUP(D130,[33]明!$D$1:$AH$4,AR$3,FALSE),"")</f>
        <v>加藤</v>
      </c>
      <c r="AS130" s="69" t="str">
        <f>IFERROR(HLOOKUP(E130,[33]明!$D$1:$AH$4,AS$3,FALSE),"")</f>
        <v>諸田</v>
      </c>
      <c r="AT130" s="29" t="str">
        <f>IFERROR(HLOOKUP($D130,[33]●!$D$1:$AH$10,AT$3,FALSE),"")</f>
        <v>長田</v>
      </c>
      <c r="AU130" s="29" t="str">
        <f>IFERROR(HLOOKUP($D130,[33]●!$D$1:$AH$10,AU$3,FALSE),"")</f>
        <v>本田</v>
      </c>
      <c r="AV130" s="29" t="str">
        <f>IFERROR(HLOOKUP($D130,[33]●!$D$1:$AH$10,AV$3,FALSE),"")</f>
        <v/>
      </c>
      <c r="AW130" s="29" t="str">
        <f>IFERROR(HLOOKUP($D130,[33]●!$D$1:$AH$10,AW$3,FALSE),"")</f>
        <v/>
      </c>
      <c r="AX130" s="29" t="str">
        <f>IFERROR(HLOOKUP($D130,[33]●!$D$1:$AH$10,AX$3,FALSE),"")</f>
        <v/>
      </c>
      <c r="AY130" s="29" t="str">
        <f>IFERROR(HLOOKUP($D130,[33]●!$D$1:$AH$10,AY$3,FALSE),"")</f>
        <v/>
      </c>
    </row>
    <row r="131" spans="1:51" ht="13.9" customHeight="1" x14ac:dyDescent="0.15">
      <c r="A131" s="10">
        <v>2022</v>
      </c>
      <c r="B131" s="10">
        <f t="shared" si="60"/>
        <v>7</v>
      </c>
      <c r="C131" s="67">
        <f t="shared" si="56"/>
        <v>44743</v>
      </c>
      <c r="D131" s="38">
        <f t="shared" si="49"/>
        <v>44761</v>
      </c>
      <c r="E131" s="37">
        <f t="shared" si="57"/>
        <v>44761</v>
      </c>
      <c r="F131" s="14" t="str">
        <f t="shared" si="58"/>
        <v>庵　緋沙子</v>
      </c>
      <c r="H131" s="72"/>
      <c r="I131" s="72"/>
      <c r="J131" s="72"/>
      <c r="K131" s="72"/>
      <c r="L131" s="72"/>
      <c r="M131" s="72"/>
      <c r="N131" s="72"/>
      <c r="O131" s="104"/>
      <c r="P131" s="104"/>
      <c r="Q131" s="104"/>
      <c r="R131" s="104"/>
      <c r="S131" s="72"/>
      <c r="T131" s="72"/>
      <c r="U131" s="72"/>
      <c r="V131" s="72"/>
      <c r="W131" s="72"/>
      <c r="X131" s="104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>
        <v>1</v>
      </c>
      <c r="AM131" s="63"/>
      <c r="AN131" s="63"/>
      <c r="AR131" s="69" t="str">
        <f>IFERROR(HLOOKUP(D131,[33]明!$D$1:$AH$4,AR$3,FALSE),"")</f>
        <v>大橋</v>
      </c>
      <c r="AS131" s="69" t="str">
        <f>IFERROR(HLOOKUP(E131,[33]明!$D$1:$AH$4,AS$3,FALSE),"")</f>
        <v>山本</v>
      </c>
      <c r="AT131" s="29" t="str">
        <f>IFERROR(HLOOKUP($D131,[33]●!$D$1:$AH$10,AT$3,FALSE),"")</f>
        <v>長田</v>
      </c>
      <c r="AU131" s="29" t="str">
        <f>IFERROR(HLOOKUP($D131,[33]●!$D$1:$AH$10,AU$3,FALSE),"")</f>
        <v>松木</v>
      </c>
      <c r="AV131" s="29" t="str">
        <f>IFERROR(HLOOKUP($D131,[33]●!$D$1:$AH$10,AV$3,FALSE),"")</f>
        <v>樫田</v>
      </c>
      <c r="AW131" s="29" t="str">
        <f>IFERROR(HLOOKUP($D131,[33]●!$D$1:$AH$10,AW$3,FALSE),"")</f>
        <v/>
      </c>
      <c r="AX131" s="29" t="str">
        <f>IFERROR(HLOOKUP($D131,[33]●!$D$1:$AH$10,AX$3,FALSE),"")</f>
        <v/>
      </c>
      <c r="AY131" s="29" t="str">
        <f>IFERROR(HLOOKUP($D131,[33]●!$D$1:$AH$10,AY$3,FALSE),"")</f>
        <v/>
      </c>
    </row>
    <row r="132" spans="1:51" ht="13.9" customHeight="1" x14ac:dyDescent="0.15">
      <c r="A132" s="10">
        <v>2022</v>
      </c>
      <c r="B132" s="10">
        <f t="shared" si="60"/>
        <v>7</v>
      </c>
      <c r="C132" s="67">
        <f t="shared" si="56"/>
        <v>44743</v>
      </c>
      <c r="D132" s="36">
        <f t="shared" si="50"/>
        <v>44769</v>
      </c>
      <c r="E132" s="37">
        <f t="shared" si="57"/>
        <v>44769</v>
      </c>
      <c r="F132" s="14" t="str">
        <f t="shared" si="58"/>
        <v>小竹　祐太朗　</v>
      </c>
      <c r="H132" s="72"/>
      <c r="I132" s="72"/>
      <c r="J132" s="72"/>
      <c r="K132" s="72"/>
      <c r="L132" s="72"/>
      <c r="M132" s="72">
        <v>1</v>
      </c>
      <c r="N132" s="72"/>
      <c r="O132" s="104"/>
      <c r="P132" s="104"/>
      <c r="Q132" s="104"/>
      <c r="R132" s="104"/>
      <c r="S132" s="72"/>
      <c r="T132" s="72"/>
      <c r="U132" s="72"/>
      <c r="V132" s="72"/>
      <c r="W132" s="72"/>
      <c r="X132" s="104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63"/>
      <c r="AN132" s="63"/>
      <c r="AR132" s="69" t="str">
        <f>IFERROR(HLOOKUP(D132,[33]明!$D$1:$AH$4,AR$3,FALSE),"")</f>
        <v>山下</v>
      </c>
      <c r="AS132" s="69" t="str">
        <f>IFERROR(HLOOKUP(E132,[33]明!$D$1:$AH$4,AS$3,FALSE),"")</f>
        <v>加藤</v>
      </c>
      <c r="AT132" s="29" t="str">
        <f>IFERROR(HLOOKUP($D132,[33]●!$D$1:$AH$10,AT$3,FALSE),"")</f>
        <v>長田</v>
      </c>
      <c r="AU132" s="29" t="str">
        <f>IFERROR(HLOOKUP($D132,[33]●!$D$1:$AH$10,AU$3,FALSE),"")</f>
        <v>齊藤</v>
      </c>
      <c r="AV132" s="29" t="str">
        <f>IFERROR(HLOOKUP($D132,[33]●!$D$1:$AH$10,AV$3,FALSE),"")</f>
        <v/>
      </c>
      <c r="AW132" s="29" t="str">
        <f>IFERROR(HLOOKUP($D132,[33]●!$D$1:$AH$10,AW$3,FALSE),"")</f>
        <v/>
      </c>
      <c r="AX132" s="29" t="str">
        <f>IFERROR(HLOOKUP($D132,[33]●!$D$1:$AH$10,AX$3,FALSE),"")</f>
        <v/>
      </c>
      <c r="AY132" s="29" t="str">
        <f>IFERROR(HLOOKUP($D132,[33]●!$D$1:$AH$10,AY$3,FALSE),"")</f>
        <v/>
      </c>
    </row>
    <row r="133" spans="1:51" ht="13.9" customHeight="1" x14ac:dyDescent="0.15">
      <c r="A133" s="10">
        <v>2022</v>
      </c>
      <c r="B133" s="10">
        <f t="shared" si="60"/>
        <v>8</v>
      </c>
      <c r="C133" s="67">
        <f t="shared" si="56"/>
        <v>44774</v>
      </c>
      <c r="D133" s="36">
        <f t="shared" si="48"/>
        <v>44783</v>
      </c>
      <c r="E133" s="37">
        <f t="shared" si="57"/>
        <v>44783</v>
      </c>
      <c r="F133" s="14" t="str">
        <f t="shared" si="58"/>
        <v>吉田 汐里</v>
      </c>
      <c r="H133" s="72"/>
      <c r="I133" s="72"/>
      <c r="J133" s="72"/>
      <c r="K133" s="72"/>
      <c r="L133" s="72"/>
      <c r="M133" s="72"/>
      <c r="N133" s="72"/>
      <c r="O133" s="104"/>
      <c r="P133" s="104"/>
      <c r="Q133" s="104"/>
      <c r="R133" s="104"/>
      <c r="S133" s="72"/>
      <c r="T133" s="72"/>
      <c r="U133" s="72"/>
      <c r="V133" s="72"/>
      <c r="W133" s="72"/>
      <c r="X133" s="104"/>
      <c r="Y133" s="72"/>
      <c r="Z133" s="72">
        <v>1</v>
      </c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63"/>
      <c r="AN133" s="63"/>
      <c r="AR133" s="69" t="str">
        <f>IFERROR(HLOOKUP(D133,[34]明!$D$1:$AH$4,AR$3,FALSE),"")</f>
        <v>山下</v>
      </c>
      <c r="AS133" s="69" t="str">
        <f>IFERROR(HLOOKUP(E133,[34]明!$D$1:$AH$4,AS$3,FALSE),"")</f>
        <v>佐藤恵</v>
      </c>
      <c r="AT133" s="29" t="str">
        <f>IFERROR(HLOOKUP($D133,[34]●!$D$1:$AH$10,AT$3,FALSE),"")</f>
        <v>吉田</v>
      </c>
      <c r="AU133" s="29" t="str">
        <f>IFERROR(HLOOKUP($D133,[34]●!$D$1:$AH$10,AU$3,FALSE),"")</f>
        <v/>
      </c>
      <c r="AV133" s="29" t="str">
        <f>IFERROR(HLOOKUP($D133,[34]●!$D$1:$AH$10,AV$3,FALSE),"")</f>
        <v/>
      </c>
      <c r="AW133" s="29" t="str">
        <f>IFERROR(HLOOKUP($D133,[34]●!$D$1:$AH$10,AW$3,FALSE),"")</f>
        <v/>
      </c>
      <c r="AX133" s="29" t="str">
        <f>IFERROR(HLOOKUP($D133,[34]●!$D$1:$AH$10,AX$3,FALSE),"")</f>
        <v/>
      </c>
      <c r="AY133" s="29" t="str">
        <f>IFERROR(HLOOKUP($D133,[34]●!$D$1:$AH$10,AY$3,FALSE),"")</f>
        <v/>
      </c>
    </row>
    <row r="134" spans="1:51" ht="13.9" customHeight="1" x14ac:dyDescent="0.15">
      <c r="A134" s="10">
        <v>2022</v>
      </c>
      <c r="B134" s="10">
        <f t="shared" si="60"/>
        <v>8</v>
      </c>
      <c r="C134" s="67">
        <f t="shared" si="56"/>
        <v>44774</v>
      </c>
      <c r="D134" s="38">
        <f t="shared" si="49"/>
        <v>44789</v>
      </c>
      <c r="E134" s="37">
        <f t="shared" si="57"/>
        <v>44789</v>
      </c>
      <c r="F134" s="14" t="str">
        <f t="shared" si="58"/>
        <v>薬司 康平</v>
      </c>
      <c r="H134" s="72"/>
      <c r="I134" s="72"/>
      <c r="J134" s="72"/>
      <c r="K134" s="72"/>
      <c r="L134" s="72"/>
      <c r="M134" s="72"/>
      <c r="N134" s="72"/>
      <c r="O134" s="104"/>
      <c r="P134" s="104"/>
      <c r="Q134" s="104"/>
      <c r="R134" s="104"/>
      <c r="S134" s="72"/>
      <c r="T134" s="72"/>
      <c r="U134" s="72"/>
      <c r="V134" s="72"/>
      <c r="W134" s="72"/>
      <c r="X134" s="104"/>
      <c r="Y134" s="72"/>
      <c r="Z134" s="72"/>
      <c r="AA134" s="72"/>
      <c r="AB134" s="72"/>
      <c r="AC134" s="72"/>
      <c r="AD134" s="72"/>
      <c r="AE134" s="72"/>
      <c r="AF134" s="72"/>
      <c r="AG134" s="72">
        <v>1</v>
      </c>
      <c r="AH134" s="72"/>
      <c r="AI134" s="72"/>
      <c r="AJ134" s="72"/>
      <c r="AK134" s="72"/>
      <c r="AL134" s="72"/>
      <c r="AM134" s="63"/>
      <c r="AN134" s="63"/>
      <c r="AR134" s="69" t="str">
        <f>IFERROR(HLOOKUP(D134,[34]明!$D$1:$AH$4,AR$3,FALSE),"")</f>
        <v>加藤</v>
      </c>
      <c r="AS134" s="69" t="str">
        <f>IFERROR(HLOOKUP(E134,[34]明!$D$1:$AH$4,AS$3,FALSE),"")</f>
        <v>薬司</v>
      </c>
      <c r="AT134" s="29" t="str">
        <f>IFERROR(HLOOKUP($D134,[34]●!$D$1:$AH$10,AT$3,FALSE),"")</f>
        <v>佐藤穂</v>
      </c>
      <c r="AU134" s="29" t="str">
        <f>IFERROR(HLOOKUP($D134,[34]●!$D$1:$AH$10,AU$3,FALSE),"")</f>
        <v/>
      </c>
      <c r="AV134" s="29" t="str">
        <f>IFERROR(HLOOKUP($D134,[34]●!$D$1:$AH$10,AV$3,FALSE),"")</f>
        <v/>
      </c>
      <c r="AW134" s="29" t="str">
        <f>IFERROR(HLOOKUP($D134,[34]●!$D$1:$AH$10,AW$3,FALSE),"")</f>
        <v/>
      </c>
      <c r="AX134" s="29" t="str">
        <f>IFERROR(HLOOKUP($D134,[34]●!$D$1:$AH$10,AX$3,FALSE),"")</f>
        <v/>
      </c>
      <c r="AY134" s="29" t="str">
        <f>IFERROR(HLOOKUP($D134,[34]●!$D$1:$AH$10,AY$3,FALSE),"")</f>
        <v/>
      </c>
    </row>
    <row r="135" spans="1:51" ht="13.9" customHeight="1" x14ac:dyDescent="0.15">
      <c r="A135" s="10">
        <v>2022</v>
      </c>
      <c r="B135" s="10">
        <f t="shared" si="60"/>
        <v>8</v>
      </c>
      <c r="C135" s="67">
        <f t="shared" si="56"/>
        <v>44774</v>
      </c>
      <c r="D135" s="36">
        <f t="shared" si="50"/>
        <v>44797</v>
      </c>
      <c r="E135" s="37">
        <f t="shared" si="57"/>
        <v>44797</v>
      </c>
      <c r="F135" s="14" t="str">
        <f t="shared" si="58"/>
        <v>小竹　祐太朗　</v>
      </c>
      <c r="H135" s="72"/>
      <c r="I135" s="72"/>
      <c r="J135" s="72"/>
      <c r="K135" s="72"/>
      <c r="L135" s="72"/>
      <c r="M135" s="72">
        <v>1</v>
      </c>
      <c r="N135" s="72"/>
      <c r="O135" s="104"/>
      <c r="P135" s="104"/>
      <c r="Q135" s="104"/>
      <c r="R135" s="104"/>
      <c r="S135" s="72"/>
      <c r="T135" s="72"/>
      <c r="U135" s="72"/>
      <c r="V135" s="72"/>
      <c r="W135" s="72"/>
      <c r="X135" s="104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63"/>
      <c r="AN135" s="63"/>
      <c r="AR135" s="69" t="str">
        <f>IFERROR(HLOOKUP(D135,[34]明!$D$1:$AH$4,AR$3,FALSE),"")</f>
        <v>山下</v>
      </c>
      <c r="AS135" s="69" t="str">
        <f>IFERROR(HLOOKUP(E135,[34]明!$D$1:$AH$4,AS$3,FALSE),"")</f>
        <v>佐藤恵</v>
      </c>
      <c r="AT135" s="29" t="str">
        <f>IFERROR(HLOOKUP($D135,[34]●!$D$1:$AH$10,AT$3,FALSE),"")</f>
        <v>諸田</v>
      </c>
      <c r="AU135" s="29" t="str">
        <f>IFERROR(HLOOKUP($D135,[34]●!$D$1:$AH$10,AU$3,FALSE),"")</f>
        <v>雨池</v>
      </c>
      <c r="AV135" s="29" t="str">
        <f>IFERROR(HLOOKUP($D135,[34]●!$D$1:$AH$10,AV$3,FALSE),"")</f>
        <v/>
      </c>
      <c r="AW135" s="29" t="str">
        <f>IFERROR(HLOOKUP($D135,[34]●!$D$1:$AH$10,AW$3,FALSE),"")</f>
        <v/>
      </c>
      <c r="AX135" s="29" t="str">
        <f>IFERROR(HLOOKUP($D135,[34]●!$D$1:$AH$10,AX$3,FALSE),"")</f>
        <v/>
      </c>
      <c r="AY135" s="29" t="str">
        <f>IFERROR(HLOOKUP($D135,[34]●!$D$1:$AH$10,AY$3,FALSE),"")</f>
        <v/>
      </c>
    </row>
    <row r="136" spans="1:51" ht="13.9" customHeight="1" x14ac:dyDescent="0.15">
      <c r="A136" s="10">
        <v>2022</v>
      </c>
      <c r="B136" s="10">
        <f t="shared" si="60"/>
        <v>9</v>
      </c>
      <c r="C136" s="67">
        <f t="shared" si="56"/>
        <v>44805</v>
      </c>
      <c r="D136" s="36">
        <f t="shared" si="48"/>
        <v>44818</v>
      </c>
      <c r="E136" s="37">
        <f t="shared" si="57"/>
        <v>44818</v>
      </c>
      <c r="F136" s="14" t="str">
        <f t="shared" si="58"/>
        <v>西郡　健太</v>
      </c>
      <c r="H136" s="72"/>
      <c r="I136" s="72"/>
      <c r="J136" s="72"/>
      <c r="K136" s="72"/>
      <c r="L136" s="72"/>
      <c r="M136" s="72"/>
      <c r="N136" s="72"/>
      <c r="O136" s="104"/>
      <c r="P136" s="104"/>
      <c r="Q136" s="104"/>
      <c r="R136" s="104"/>
      <c r="S136" s="72"/>
      <c r="T136" s="72"/>
      <c r="U136" s="72"/>
      <c r="V136" s="72"/>
      <c r="W136" s="72"/>
      <c r="X136" s="104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>
        <v>1</v>
      </c>
      <c r="AJ136" s="72"/>
      <c r="AK136" s="72"/>
      <c r="AL136" s="72"/>
      <c r="AM136" s="63"/>
      <c r="AN136" s="63"/>
      <c r="AR136" s="69" t="str">
        <f>IFERROR(HLOOKUP(D136,[35]明!$D$1:$AH$4,AR$3,FALSE),"")</f>
        <v>西郡</v>
      </c>
      <c r="AS136" s="69" t="str">
        <f>IFERROR(HLOOKUP(E136,[35]明!$D$1:$AH$4,AS$3,FALSE),"")</f>
        <v>袋</v>
      </c>
      <c r="AT136" s="29" t="str">
        <f>IFERROR(HLOOKUP($D136,[35]●!$D$1:$AH$10,AT$3,FALSE),"")</f>
        <v>大橋</v>
      </c>
      <c r="AU136" s="29" t="str">
        <f>IFERROR(HLOOKUP($D136,[35]●!$D$1:$AH$10,AU$3,FALSE),"")</f>
        <v>吉田</v>
      </c>
      <c r="AV136" s="29" t="str">
        <f>IFERROR(HLOOKUP($D136,[35]●!$D$1:$AH$10,AV$3,FALSE),"")</f>
        <v/>
      </c>
      <c r="AW136" s="29" t="str">
        <f>IFERROR(HLOOKUP($D136,[35]●!$D$1:$AH$10,AW$3,FALSE),"")</f>
        <v/>
      </c>
      <c r="AX136" s="29" t="str">
        <f>IFERROR(HLOOKUP($D136,[35]●!$D$1:$AH$10,AX$3,FALSE),"")</f>
        <v/>
      </c>
      <c r="AY136" s="29" t="str">
        <f>IFERROR(HLOOKUP($D136,[35]●!$D$1:$AH$10,AY$3,FALSE),"")</f>
        <v/>
      </c>
    </row>
    <row r="137" spans="1:51" ht="13.9" customHeight="1" x14ac:dyDescent="0.15">
      <c r="A137" s="10">
        <v>2022</v>
      </c>
      <c r="B137" s="10">
        <f t="shared" si="60"/>
        <v>9</v>
      </c>
      <c r="C137" s="67">
        <f t="shared" si="56"/>
        <v>44805</v>
      </c>
      <c r="D137" s="38">
        <f t="shared" si="49"/>
        <v>44824</v>
      </c>
      <c r="E137" s="37">
        <f t="shared" si="57"/>
        <v>44824</v>
      </c>
      <c r="F137" s="14" t="str">
        <f t="shared" si="58"/>
        <v>清水　正生</v>
      </c>
      <c r="H137" s="72"/>
      <c r="I137" s="72"/>
      <c r="J137" s="72"/>
      <c r="K137" s="72"/>
      <c r="L137" s="72"/>
      <c r="M137" s="72"/>
      <c r="N137" s="72"/>
      <c r="O137" s="104"/>
      <c r="P137" s="104"/>
      <c r="Q137" s="104"/>
      <c r="R137" s="104"/>
      <c r="S137" s="72"/>
      <c r="T137" s="72"/>
      <c r="U137" s="72"/>
      <c r="V137" s="72"/>
      <c r="W137" s="72"/>
      <c r="X137" s="104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>
        <v>1</v>
      </c>
      <c r="AK137" s="72"/>
      <c r="AL137" s="72"/>
      <c r="AM137" s="63"/>
      <c r="AN137" s="63"/>
      <c r="AR137" s="69" t="str">
        <f>IFERROR(HLOOKUP(D137,[35]明!$D$1:$AH$4,AR$3,FALSE),"")</f>
        <v>龍野</v>
      </c>
      <c r="AS137" s="69" t="str">
        <f>IFERROR(HLOOKUP(E137,[35]明!$D$1:$AH$4,AS$3,FALSE),"")</f>
        <v>西郡</v>
      </c>
      <c r="AT137" s="29" t="str">
        <f>IFERROR(HLOOKUP($D137,[35]●!$D$1:$AH$10,AT$3,FALSE),"")</f>
        <v>大橋</v>
      </c>
      <c r="AU137" s="29" t="str">
        <f>IFERROR(HLOOKUP($D137,[35]●!$D$1:$AH$10,AU$3,FALSE),"")</f>
        <v>山本</v>
      </c>
      <c r="AV137" s="29" t="str">
        <f>IFERROR(HLOOKUP($D137,[35]●!$D$1:$AH$10,AV$3,FALSE),"")</f>
        <v/>
      </c>
      <c r="AW137" s="29" t="str">
        <f>IFERROR(HLOOKUP($D137,[35]●!$D$1:$AH$10,AW$3,FALSE),"")</f>
        <v/>
      </c>
      <c r="AX137" s="29" t="str">
        <f>IFERROR(HLOOKUP($D137,[35]●!$D$1:$AH$10,AX$3,FALSE),"")</f>
        <v/>
      </c>
      <c r="AY137" s="29" t="str">
        <f>IFERROR(HLOOKUP($D137,[35]●!$D$1:$AH$10,AY$3,FALSE),"")</f>
        <v/>
      </c>
    </row>
    <row r="138" spans="1:51" ht="13.9" customHeight="1" x14ac:dyDescent="0.15">
      <c r="A138" s="10">
        <v>2022</v>
      </c>
      <c r="B138" s="10">
        <f t="shared" si="60"/>
        <v>9</v>
      </c>
      <c r="C138" s="67">
        <f t="shared" si="56"/>
        <v>44805</v>
      </c>
      <c r="D138" s="36">
        <f t="shared" si="50"/>
        <v>44832</v>
      </c>
      <c r="E138" s="37">
        <f t="shared" si="57"/>
        <v>44832</v>
      </c>
      <c r="F138" s="14" t="str">
        <f t="shared" si="58"/>
        <v>中川　大誠</v>
      </c>
      <c r="H138" s="72"/>
      <c r="I138" s="72"/>
      <c r="J138" s="72"/>
      <c r="K138" s="72"/>
      <c r="L138" s="72"/>
      <c r="M138" s="72"/>
      <c r="N138" s="72"/>
      <c r="O138" s="104"/>
      <c r="P138" s="104"/>
      <c r="Q138" s="104"/>
      <c r="R138" s="104"/>
      <c r="S138" s="72"/>
      <c r="T138" s="72"/>
      <c r="U138" s="72"/>
      <c r="V138" s="72"/>
      <c r="W138" s="72"/>
      <c r="X138" s="104"/>
      <c r="Y138" s="72"/>
      <c r="Z138" s="72"/>
      <c r="AA138" s="72"/>
      <c r="AB138" s="72"/>
      <c r="AC138" s="72"/>
      <c r="AD138" s="72"/>
      <c r="AE138" s="72"/>
      <c r="AF138" s="72">
        <v>1</v>
      </c>
      <c r="AG138" s="72"/>
      <c r="AH138" s="72"/>
      <c r="AI138" s="72"/>
      <c r="AJ138" s="72"/>
      <c r="AK138" s="72"/>
      <c r="AL138" s="72"/>
      <c r="AM138" s="63"/>
      <c r="AN138" s="63"/>
      <c r="AR138" s="69" t="str">
        <f>IFERROR(HLOOKUP(D138,[35]明!$D$1:$AH$4,AR$3,FALSE),"")</f>
        <v>本田</v>
      </c>
      <c r="AS138" s="69" t="str">
        <f>IFERROR(HLOOKUP(E138,[35]明!$D$1:$AH$4,AS$3,FALSE),"")</f>
        <v>松木</v>
      </c>
      <c r="AT138" s="29" t="str">
        <f>IFERROR(HLOOKUP($D138,[35]●!$D$1:$AH$10,AT$3,FALSE),"")</f>
        <v>諸田</v>
      </c>
      <c r="AU138" s="29" t="str">
        <f>IFERROR(HLOOKUP($D138,[35]●!$D$1:$AH$10,AU$3,FALSE),"")</f>
        <v>福知</v>
      </c>
      <c r="AV138" s="29" t="str">
        <f>IFERROR(HLOOKUP($D138,[35]●!$D$1:$AH$10,AV$3,FALSE),"")</f>
        <v>雨池</v>
      </c>
      <c r="AW138" s="29" t="str">
        <f>IFERROR(HLOOKUP($D138,[35]●!$D$1:$AH$10,AW$3,FALSE),"")</f>
        <v/>
      </c>
      <c r="AX138" s="29" t="str">
        <f>IFERROR(HLOOKUP($D138,[35]●!$D$1:$AH$10,AX$3,FALSE),"")</f>
        <v/>
      </c>
      <c r="AY138" s="29" t="str">
        <f>IFERROR(HLOOKUP($D138,[35]●!$D$1:$AH$10,AY$3,FALSE),"")</f>
        <v/>
      </c>
    </row>
    <row r="139" spans="1:51" ht="13.9" customHeight="1" x14ac:dyDescent="0.15">
      <c r="A139" s="10">
        <v>2022</v>
      </c>
      <c r="B139" s="10">
        <f t="shared" si="60"/>
        <v>10</v>
      </c>
      <c r="C139" s="67">
        <f t="shared" si="56"/>
        <v>44835</v>
      </c>
      <c r="D139" s="36">
        <f t="shared" si="48"/>
        <v>44846</v>
      </c>
      <c r="E139" s="37">
        <f t="shared" si="57"/>
        <v>44846</v>
      </c>
      <c r="F139" s="14" t="str">
        <f t="shared" si="58"/>
        <v>庵　緋沙子</v>
      </c>
      <c r="H139" s="72"/>
      <c r="I139" s="72"/>
      <c r="J139" s="72"/>
      <c r="K139" s="72"/>
      <c r="L139" s="72"/>
      <c r="M139" s="72"/>
      <c r="N139" s="72"/>
      <c r="O139" s="104"/>
      <c r="P139" s="104"/>
      <c r="Q139" s="104"/>
      <c r="R139" s="104"/>
      <c r="S139" s="72"/>
      <c r="T139" s="72"/>
      <c r="U139" s="72"/>
      <c r="V139" s="72"/>
      <c r="W139" s="72"/>
      <c r="X139" s="104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>
        <v>1</v>
      </c>
      <c r="AM139" s="63"/>
      <c r="AN139" s="63"/>
      <c r="AR139" s="69" t="str">
        <f>IFERROR(HLOOKUP(D139,[36]明!$D$1:$AH$4,AR$3,FALSE),"")</f>
        <v>松木</v>
      </c>
      <c r="AS139" s="69" t="str">
        <f>IFERROR(HLOOKUP(E139,[36]明!$D$1:$AH$4,AS$3,FALSE),"")</f>
        <v>中村公</v>
      </c>
      <c r="AT139" s="29" t="str">
        <f>IFERROR(HLOOKUP($D139,[36]●!$D$1:$AH$10,AT$3,FALSE),"")</f>
        <v>清水</v>
      </c>
      <c r="AU139" s="29" t="str">
        <f>IFERROR(HLOOKUP($D139,[36]●!$D$1:$AH$10,AU$3,FALSE),"")</f>
        <v>加藤</v>
      </c>
      <c r="AV139" s="29" t="str">
        <f>IFERROR(HLOOKUP($D139,[36]●!$D$1:$AH$10,AV$3,FALSE),"")</f>
        <v>佐藤穂</v>
      </c>
      <c r="AW139" s="29" t="str">
        <f>IFERROR(HLOOKUP($D139,[36]●!$D$1:$AH$10,AW$3,FALSE),"")</f>
        <v/>
      </c>
      <c r="AX139" s="29" t="str">
        <f>IFERROR(HLOOKUP($D139,[36]●!$D$1:$AH$10,AX$3,FALSE),"")</f>
        <v/>
      </c>
      <c r="AY139" s="29" t="str">
        <f>IFERROR(HLOOKUP($D139,[36]●!$D$1:$AH$10,AY$3,FALSE),"")</f>
        <v/>
      </c>
    </row>
    <row r="140" spans="1:51" ht="13.9" customHeight="1" x14ac:dyDescent="0.15">
      <c r="A140" s="10">
        <v>2022</v>
      </c>
      <c r="B140" s="10">
        <f t="shared" si="60"/>
        <v>10</v>
      </c>
      <c r="C140" s="67">
        <f t="shared" si="56"/>
        <v>44835</v>
      </c>
      <c r="D140" s="38">
        <f t="shared" si="49"/>
        <v>44852</v>
      </c>
      <c r="E140" s="37">
        <f t="shared" si="57"/>
        <v>44852</v>
      </c>
      <c r="F140" s="14" t="str">
        <f t="shared" si="58"/>
        <v>片岡 恵梨子</v>
      </c>
      <c r="H140" s="73"/>
      <c r="I140" s="73"/>
      <c r="J140" s="73"/>
      <c r="K140" s="73"/>
      <c r="L140" s="73"/>
      <c r="M140" s="73"/>
      <c r="N140" s="73"/>
      <c r="O140" s="105"/>
      <c r="P140" s="105"/>
      <c r="Q140" s="105"/>
      <c r="R140" s="105"/>
      <c r="S140" s="73"/>
      <c r="T140" s="73"/>
      <c r="U140" s="73"/>
      <c r="V140" s="73"/>
      <c r="W140" s="73"/>
      <c r="X140" s="105"/>
      <c r="Y140" s="73"/>
      <c r="Z140" s="73"/>
      <c r="AA140" s="73"/>
      <c r="AB140" s="73"/>
      <c r="AC140" s="73">
        <v>1</v>
      </c>
      <c r="AD140" s="73"/>
      <c r="AE140" s="73"/>
      <c r="AF140" s="73"/>
      <c r="AG140" s="73"/>
      <c r="AH140" s="73"/>
      <c r="AI140" s="73"/>
      <c r="AJ140" s="73"/>
      <c r="AK140" s="73"/>
      <c r="AL140" s="73"/>
      <c r="AM140" s="90"/>
      <c r="AN140" s="90"/>
      <c r="AR140" s="69" t="str">
        <f>IFERROR(HLOOKUP(D140,[36]明!$D$1:$AH$4,AR$3,FALSE),"")</f>
        <v>龍野</v>
      </c>
      <c r="AS140" s="69" t="str">
        <f>IFERROR(HLOOKUP(E140,[36]明!$D$1:$AH$4,AS$3,FALSE),"")</f>
        <v>福知</v>
      </c>
      <c r="AT140" s="29" t="str">
        <f>IFERROR(HLOOKUP($D140,[36]●!$D$1:$AH$10,AT$3,FALSE),"")</f>
        <v>山下</v>
      </c>
      <c r="AU140" s="29" t="str">
        <f>IFERROR(HLOOKUP($D140,[36]●!$D$1:$AH$10,AU$3,FALSE),"")</f>
        <v>佐藤恵</v>
      </c>
      <c r="AV140" s="29" t="str">
        <f>IFERROR(HLOOKUP($D140,[36]●!$D$1:$AH$10,AV$3,FALSE),"")</f>
        <v/>
      </c>
      <c r="AW140" s="29" t="str">
        <f>IFERROR(HLOOKUP($D140,[36]●!$D$1:$AH$10,AW$3,FALSE),"")</f>
        <v/>
      </c>
      <c r="AX140" s="29" t="str">
        <f>IFERROR(HLOOKUP($D140,[36]●!$D$1:$AH$10,AX$3,FALSE),"")</f>
        <v/>
      </c>
      <c r="AY140" s="29" t="str">
        <f>IFERROR(HLOOKUP($D140,[36]●!$D$1:$AH$10,AY$3,FALSE),"")</f>
        <v/>
      </c>
    </row>
    <row r="141" spans="1:51" ht="13.9" customHeight="1" x14ac:dyDescent="0.15">
      <c r="A141" s="10">
        <v>2022</v>
      </c>
      <c r="B141" s="10">
        <f t="shared" si="60"/>
        <v>10</v>
      </c>
      <c r="C141" s="67">
        <f t="shared" si="56"/>
        <v>44835</v>
      </c>
      <c r="D141" s="36">
        <f t="shared" si="50"/>
        <v>44860</v>
      </c>
      <c r="E141" s="37">
        <f t="shared" si="57"/>
        <v>44860</v>
      </c>
      <c r="F141" s="14" t="str">
        <f t="shared" si="58"/>
        <v>平田 恵哉</v>
      </c>
      <c r="H141" s="91"/>
      <c r="I141" s="91"/>
      <c r="J141" s="91"/>
      <c r="K141" s="91"/>
      <c r="L141" s="91"/>
      <c r="M141" s="91"/>
      <c r="N141" s="91"/>
      <c r="O141" s="106"/>
      <c r="P141" s="106"/>
      <c r="Q141" s="106"/>
      <c r="R141" s="106"/>
      <c r="S141" s="91"/>
      <c r="T141" s="91"/>
      <c r="U141" s="91">
        <v>1</v>
      </c>
      <c r="V141" s="91"/>
      <c r="W141" s="91"/>
      <c r="X141" s="106"/>
      <c r="Y141" s="91"/>
      <c r="Z141" s="91"/>
      <c r="AA141" s="91"/>
      <c r="AB141" s="91"/>
      <c r="AC141" s="91"/>
      <c r="AD141" s="91"/>
      <c r="AE141" s="91"/>
      <c r="AF141" s="91"/>
      <c r="AG141" s="91"/>
      <c r="AH141" s="91"/>
      <c r="AI141" s="91"/>
      <c r="AJ141" s="91"/>
      <c r="AK141" s="91"/>
      <c r="AL141" s="91"/>
      <c r="AM141" s="92"/>
      <c r="AN141" s="92"/>
      <c r="AR141" s="69" t="str">
        <f>IFERROR(HLOOKUP(D141,[36]明!$D$1:$AH$4,AR$3,FALSE),"")</f>
        <v>清水</v>
      </c>
      <c r="AS141" s="69" t="str">
        <f>IFERROR(HLOOKUP(E141,[36]明!$D$1:$AH$4,AS$3,FALSE),"")</f>
        <v>本田</v>
      </c>
      <c r="AT141" s="29" t="str">
        <f>IFERROR(HLOOKUP($D141,[36]●!$D$1:$AH$10,AT$3,FALSE),"")</f>
        <v>平田恵</v>
      </c>
      <c r="AU141" s="29" t="str">
        <f>IFERROR(HLOOKUP($D141,[36]●!$D$1:$AH$10,AU$3,FALSE),"")</f>
        <v>庵</v>
      </c>
      <c r="AV141" s="29" t="str">
        <f>IFERROR(HLOOKUP($D141,[36]●!$D$1:$AH$10,AV$3,FALSE),"")</f>
        <v/>
      </c>
      <c r="AW141" s="29" t="str">
        <f>IFERROR(HLOOKUP($D141,[36]●!$D$1:$AH$10,AW$3,FALSE),"")</f>
        <v/>
      </c>
      <c r="AX141" s="29" t="str">
        <f>IFERROR(HLOOKUP($D141,[36]●!$D$1:$AH$10,AX$3,FALSE),"")</f>
        <v/>
      </c>
      <c r="AY141" s="29" t="str">
        <f>IFERROR(HLOOKUP($D141,[36]●!$D$1:$AH$10,AY$3,FALSE),"")</f>
        <v/>
      </c>
    </row>
    <row r="142" spans="1:51" ht="13.9" customHeight="1" x14ac:dyDescent="0.15">
      <c r="A142" s="10">
        <v>2022</v>
      </c>
      <c r="B142" s="10">
        <f t="shared" si="60"/>
        <v>11</v>
      </c>
      <c r="C142" s="67">
        <f t="shared" si="56"/>
        <v>44866</v>
      </c>
      <c r="D142" s="36">
        <f t="shared" si="48"/>
        <v>44874</v>
      </c>
      <c r="E142" s="37">
        <f t="shared" si="57"/>
        <v>44874</v>
      </c>
      <c r="F142" s="14" t="str">
        <f t="shared" si="58"/>
        <v>西明 千織</v>
      </c>
      <c r="H142" s="91">
        <v>1</v>
      </c>
      <c r="I142" s="91"/>
      <c r="J142" s="91"/>
      <c r="K142" s="91"/>
      <c r="L142" s="91"/>
      <c r="M142" s="91"/>
      <c r="N142" s="91"/>
      <c r="O142" s="106"/>
      <c r="P142" s="106"/>
      <c r="Q142" s="106"/>
      <c r="R142" s="106"/>
      <c r="S142" s="91"/>
      <c r="T142" s="91"/>
      <c r="U142" s="91"/>
      <c r="V142" s="91"/>
      <c r="W142" s="91"/>
      <c r="X142" s="106"/>
      <c r="Y142" s="91"/>
      <c r="Z142" s="91"/>
      <c r="AA142" s="91"/>
      <c r="AB142" s="91"/>
      <c r="AC142" s="91"/>
      <c r="AD142" s="91"/>
      <c r="AE142" s="91"/>
      <c r="AF142" s="91"/>
      <c r="AG142" s="91"/>
      <c r="AH142" s="91"/>
      <c r="AI142" s="91"/>
      <c r="AJ142" s="91"/>
      <c r="AK142" s="91"/>
      <c r="AL142" s="91"/>
      <c r="AM142" s="93"/>
      <c r="AN142" s="93"/>
      <c r="AR142" s="69" t="str">
        <f>IFERROR(HLOOKUP(D142,[37]明!$D$1:$AH$4,AR$3,FALSE),"")</f>
        <v/>
      </c>
      <c r="AS142" s="69" t="str">
        <f>IFERROR(HLOOKUP(E142,[37]明!$D$1:$AH$4,AS$3,FALSE),"")</f>
        <v/>
      </c>
      <c r="AT142" s="29" t="str">
        <f>IFERROR(HLOOKUP($D142,[37]●!$D$1:$AH$10,AT$3,FALSE),"")</f>
        <v/>
      </c>
      <c r="AU142" s="29" t="str">
        <f>IFERROR(HLOOKUP($D142,[37]●!$D$1:$AH$10,AU$3,FALSE),"")</f>
        <v/>
      </c>
      <c r="AV142" s="29" t="str">
        <f>IFERROR(HLOOKUP($D142,[37]●!$D$1:$AH$10,AV$3,FALSE),"")</f>
        <v/>
      </c>
      <c r="AW142" s="29" t="str">
        <f>IFERROR(HLOOKUP($D142,[37]●!$D$1:$AH$10,AW$3,FALSE),"")</f>
        <v/>
      </c>
      <c r="AX142" s="29" t="str">
        <f>IFERROR(HLOOKUP($D142,[37]●!$D$1:$AH$10,AX$3,FALSE),"")</f>
        <v/>
      </c>
      <c r="AY142" s="29" t="str">
        <f>IFERROR(HLOOKUP($D142,[37]●!$D$1:$AH$10,AY$3,FALSE),"")</f>
        <v/>
      </c>
    </row>
    <row r="143" spans="1:51" ht="13.9" customHeight="1" x14ac:dyDescent="0.15">
      <c r="A143" s="10">
        <v>2022</v>
      </c>
      <c r="B143" s="10">
        <f t="shared" si="60"/>
        <v>11</v>
      </c>
      <c r="C143" s="67">
        <f t="shared" si="56"/>
        <v>44866</v>
      </c>
      <c r="D143" s="38">
        <f t="shared" si="49"/>
        <v>44880</v>
      </c>
      <c r="E143" s="37">
        <f t="shared" si="57"/>
        <v>44880</v>
      </c>
      <c r="F143" s="14" t="str">
        <f t="shared" si="58"/>
        <v>長田 弘二</v>
      </c>
      <c r="H143" s="91"/>
      <c r="I143" s="91"/>
      <c r="J143" s="91"/>
      <c r="K143" s="91"/>
      <c r="L143" s="91"/>
      <c r="M143" s="91"/>
      <c r="N143" s="91"/>
      <c r="O143" s="106"/>
      <c r="P143" s="106"/>
      <c r="Q143" s="106"/>
      <c r="R143" s="106"/>
      <c r="S143" s="91"/>
      <c r="T143" s="91"/>
      <c r="U143" s="91"/>
      <c r="V143" s="91">
        <v>1</v>
      </c>
      <c r="W143" s="91"/>
      <c r="X143" s="106"/>
      <c r="Y143" s="91"/>
      <c r="Z143" s="91"/>
      <c r="AA143" s="91"/>
      <c r="AB143" s="91"/>
      <c r="AC143" s="91"/>
      <c r="AD143" s="91"/>
      <c r="AE143" s="91"/>
      <c r="AF143" s="91"/>
      <c r="AG143" s="91"/>
      <c r="AH143" s="91"/>
      <c r="AI143" s="91"/>
      <c r="AJ143" s="91"/>
      <c r="AK143" s="91"/>
      <c r="AL143" s="91"/>
      <c r="AM143" s="93"/>
      <c r="AN143" s="93"/>
      <c r="AR143" s="69" t="str">
        <f>IFERROR(HLOOKUP(D143,[37]明!$D$1:$AH$4,AR$3,FALSE),"")</f>
        <v/>
      </c>
      <c r="AS143" s="69" t="str">
        <f>IFERROR(HLOOKUP(E143,[37]明!$D$1:$AH$4,AS$3,FALSE),"")</f>
        <v/>
      </c>
      <c r="AT143" s="29" t="str">
        <f>IFERROR(HLOOKUP($D143,[37]●!$D$1:$AH$10,AT$3,FALSE),"")</f>
        <v/>
      </c>
      <c r="AU143" s="29" t="str">
        <f>IFERROR(HLOOKUP($D143,[37]●!$D$1:$AH$10,AU$3,FALSE),"")</f>
        <v/>
      </c>
      <c r="AV143" s="29" t="str">
        <f>IFERROR(HLOOKUP($D143,[37]●!$D$1:$AH$10,AV$3,FALSE),"")</f>
        <v/>
      </c>
      <c r="AW143" s="29" t="str">
        <f>IFERROR(HLOOKUP($D143,[37]●!$D$1:$AH$10,AW$3,FALSE),"")</f>
        <v/>
      </c>
      <c r="AX143" s="29" t="str">
        <f>IFERROR(HLOOKUP($D143,[37]●!$D$1:$AH$10,AX$3,FALSE),"")</f>
        <v/>
      </c>
      <c r="AY143" s="29" t="str">
        <f>IFERROR(HLOOKUP($D143,[37]●!$D$1:$AH$10,AY$3,FALSE),"")</f>
        <v/>
      </c>
    </row>
    <row r="144" spans="1:51" ht="13.9" customHeight="1" x14ac:dyDescent="0.15">
      <c r="A144" s="10">
        <v>2022</v>
      </c>
      <c r="B144" s="10">
        <f t="shared" si="60"/>
        <v>11</v>
      </c>
      <c r="C144" s="67">
        <f t="shared" si="56"/>
        <v>44866</v>
      </c>
      <c r="D144" s="36">
        <f t="shared" si="50"/>
        <v>44888</v>
      </c>
      <c r="E144" s="37">
        <f t="shared" si="57"/>
        <v>44888</v>
      </c>
      <c r="F144" s="14" t="str">
        <f t="shared" si="58"/>
        <v>南 博之</v>
      </c>
      <c r="H144" s="91"/>
      <c r="I144" s="91"/>
      <c r="J144" s="91"/>
      <c r="K144" s="91"/>
      <c r="L144" s="91"/>
      <c r="M144" s="91"/>
      <c r="N144" s="91"/>
      <c r="O144" s="106"/>
      <c r="P144" s="106"/>
      <c r="Q144" s="106">
        <v>1</v>
      </c>
      <c r="R144" s="106"/>
      <c r="S144" s="91"/>
      <c r="T144" s="91"/>
      <c r="U144" s="91"/>
      <c r="V144" s="91"/>
      <c r="W144" s="91"/>
      <c r="X144" s="106"/>
      <c r="Y144" s="91"/>
      <c r="Z144" s="91"/>
      <c r="AA144" s="91"/>
      <c r="AB144" s="91"/>
      <c r="AC144" s="91"/>
      <c r="AD144" s="91"/>
      <c r="AE144" s="91"/>
      <c r="AF144" s="91"/>
      <c r="AG144" s="91"/>
      <c r="AH144" s="91"/>
      <c r="AI144" s="91"/>
      <c r="AJ144" s="91"/>
      <c r="AK144" s="91"/>
      <c r="AL144" s="91"/>
      <c r="AM144" s="93"/>
      <c r="AN144" s="93"/>
      <c r="AR144" s="69" t="str">
        <f>IFERROR(HLOOKUP(D144,[37]明!$D$1:$AH$4,AR$3,FALSE),"")</f>
        <v/>
      </c>
      <c r="AS144" s="69" t="str">
        <f>IFERROR(HLOOKUP(E144,[37]明!$D$1:$AH$4,AS$3,FALSE),"")</f>
        <v/>
      </c>
      <c r="AT144" s="29" t="str">
        <f>IFERROR(HLOOKUP($D144,[37]●!$D$1:$AH$10,AT$3,FALSE),"")</f>
        <v/>
      </c>
      <c r="AU144" s="29" t="str">
        <f>IFERROR(HLOOKUP($D144,[37]●!$D$1:$AH$10,AU$3,FALSE),"")</f>
        <v/>
      </c>
      <c r="AV144" s="29" t="str">
        <f>IFERROR(HLOOKUP($D144,[37]●!$D$1:$AH$10,AV$3,FALSE),"")</f>
        <v/>
      </c>
      <c r="AW144" s="29" t="str">
        <f>IFERROR(HLOOKUP($D144,[37]●!$D$1:$AH$10,AW$3,FALSE),"")</f>
        <v/>
      </c>
      <c r="AX144" s="29" t="str">
        <f>IFERROR(HLOOKUP($D144,[37]●!$D$1:$AH$10,AX$3,FALSE),"")</f>
        <v/>
      </c>
      <c r="AY144" s="29" t="str">
        <f>IFERROR(HLOOKUP($D144,[37]●!$D$1:$AH$10,AY$3,FALSE),"")</f>
        <v/>
      </c>
    </row>
    <row r="145" spans="1:51" ht="13.9" customHeight="1" x14ac:dyDescent="0.15">
      <c r="A145" s="10">
        <v>2022</v>
      </c>
      <c r="B145" s="10">
        <f t="shared" si="60"/>
        <v>12</v>
      </c>
      <c r="C145" s="67">
        <f t="shared" si="56"/>
        <v>44896</v>
      </c>
      <c r="D145" s="36">
        <f t="shared" ref="D145:D208" si="61">IF(WEEKDAY((DATE(A145,B145,1)))&gt;4,(7-(WEEKDAY((DATE(A145,B145,1)))-4))+(DATE(A145,B145,1)),4-WEEKDAY((DATE(A145,B145,1)))+(DATE(A145,B145,1)))+7</f>
        <v>44909</v>
      </c>
      <c r="E145" s="37">
        <f t="shared" si="57"/>
        <v>44909</v>
      </c>
      <c r="F145" s="14" t="str">
        <f t="shared" si="58"/>
        <v>大橋 効</v>
      </c>
      <c r="H145" s="91"/>
      <c r="I145" s="91"/>
      <c r="J145" s="91"/>
      <c r="K145" s="91"/>
      <c r="L145" s="91"/>
      <c r="M145" s="91"/>
      <c r="N145" s="91"/>
      <c r="O145" s="106">
        <v>1</v>
      </c>
      <c r="P145" s="106"/>
      <c r="Q145" s="106"/>
      <c r="R145" s="106"/>
      <c r="S145" s="91"/>
      <c r="T145" s="91"/>
      <c r="U145" s="91"/>
      <c r="V145" s="91"/>
      <c r="W145" s="91"/>
      <c r="X145" s="106"/>
      <c r="Y145" s="91"/>
      <c r="Z145" s="91"/>
      <c r="AA145" s="91"/>
      <c r="AB145" s="91"/>
      <c r="AC145" s="91"/>
      <c r="AD145" s="91"/>
      <c r="AE145" s="91"/>
      <c r="AF145" s="91"/>
      <c r="AG145" s="91"/>
      <c r="AH145" s="91"/>
      <c r="AI145" s="91"/>
      <c r="AJ145" s="91"/>
      <c r="AK145" s="91"/>
      <c r="AL145" s="91"/>
      <c r="AM145" s="93"/>
      <c r="AN145" s="93"/>
      <c r="AR145" s="69" t="str">
        <f>IFERROR(HLOOKUP(D145,[37]明!$D$1:$AH$4,AR$3,FALSE),"")</f>
        <v>加藤</v>
      </c>
      <c r="AS145" s="69" t="str">
        <f>IFERROR(HLOOKUP(E145,[37]明!$D$1:$AH$4,AS$3,FALSE),"")</f>
        <v>福知</v>
      </c>
      <c r="AT145" s="29" t="str">
        <f>IFERROR(HLOOKUP($D145,[37]●!$D$1:$AH$10,AT$3,FALSE),"")</f>
        <v/>
      </c>
      <c r="AU145" s="29" t="str">
        <f>IFERROR(HLOOKUP($D145,[37]●!$D$1:$AH$10,AU$3,FALSE),"")</f>
        <v/>
      </c>
      <c r="AV145" s="29" t="str">
        <f>IFERROR(HLOOKUP($D145,[37]●!$D$1:$AH$10,AV$3,FALSE),"")</f>
        <v/>
      </c>
      <c r="AW145" s="29" t="str">
        <f>IFERROR(HLOOKUP($D145,[37]●!$D$1:$AH$10,AW$3,FALSE),"")</f>
        <v/>
      </c>
      <c r="AX145" s="29" t="str">
        <f>IFERROR(HLOOKUP($D145,[37]●!$D$1:$AH$10,AX$3,FALSE),"")</f>
        <v/>
      </c>
      <c r="AY145" s="29" t="str">
        <f>IFERROR(HLOOKUP($D145,[37]●!$D$1:$AH$10,AY$3,FALSE),"")</f>
        <v/>
      </c>
    </row>
    <row r="146" spans="1:51" ht="13.9" customHeight="1" x14ac:dyDescent="0.15">
      <c r="A146" s="10">
        <v>2022</v>
      </c>
      <c r="B146" s="10">
        <f t="shared" si="60"/>
        <v>12</v>
      </c>
      <c r="C146" s="67">
        <f t="shared" si="56"/>
        <v>44896</v>
      </c>
      <c r="D146" s="38">
        <f t="shared" ref="D146:D209" si="62">IF(WEEKDAY(DATE(A146,B146,1))&gt;3,(7-(WEEKDAY(DATE(A146,B146,1))-3))+DATE(A146,B146,1),3-WEEKDAY(DATE(A146,B146,1))+DATE(A146,B146,1))+14</f>
        <v>44915</v>
      </c>
      <c r="E146" s="37">
        <f t="shared" si="57"/>
        <v>44915</v>
      </c>
      <c r="F146" s="14" t="str">
        <f t="shared" si="58"/>
        <v>田村 能之</v>
      </c>
      <c r="H146" s="91"/>
      <c r="I146" s="91"/>
      <c r="J146" s="91"/>
      <c r="K146" s="91"/>
      <c r="L146" s="91"/>
      <c r="M146" s="91"/>
      <c r="N146" s="91"/>
      <c r="O146" s="106"/>
      <c r="P146" s="106"/>
      <c r="Q146" s="106"/>
      <c r="R146" s="106"/>
      <c r="S146" s="91"/>
      <c r="T146" s="91"/>
      <c r="U146" s="91"/>
      <c r="V146" s="91"/>
      <c r="W146" s="91"/>
      <c r="X146" s="106"/>
      <c r="Y146" s="91"/>
      <c r="Z146" s="91"/>
      <c r="AA146" s="91">
        <v>1</v>
      </c>
      <c r="AB146" s="91"/>
      <c r="AC146" s="91"/>
      <c r="AD146" s="91"/>
      <c r="AE146" s="91"/>
      <c r="AF146" s="91"/>
      <c r="AG146" s="91"/>
      <c r="AH146" s="91"/>
      <c r="AI146" s="91"/>
      <c r="AJ146" s="91"/>
      <c r="AK146" s="91"/>
      <c r="AL146" s="91"/>
      <c r="AM146" s="93"/>
      <c r="AN146" s="93"/>
      <c r="AR146" s="69" t="str">
        <f>IFERROR(HLOOKUP(D146,[37]明!$D$1:$AH$4,AR$3,FALSE),"")</f>
        <v>田村</v>
      </c>
      <c r="AS146" s="69" t="str">
        <f>IFERROR(HLOOKUP(E146,[37]明!$D$1:$AH$4,AS$3,FALSE),"")</f>
        <v>樫田</v>
      </c>
      <c r="AT146" s="29" t="str">
        <f>IFERROR(HLOOKUP($D146,[37]●!$D$1:$AH$10,AT$3,FALSE),"")</f>
        <v/>
      </c>
      <c r="AU146" s="29" t="str">
        <f>IFERROR(HLOOKUP($D146,[37]●!$D$1:$AH$10,AU$3,FALSE),"")</f>
        <v/>
      </c>
      <c r="AV146" s="29" t="str">
        <f>IFERROR(HLOOKUP($D146,[37]●!$D$1:$AH$10,AV$3,FALSE),"")</f>
        <v/>
      </c>
      <c r="AW146" s="29" t="str">
        <f>IFERROR(HLOOKUP($D146,[37]●!$D$1:$AH$10,AW$3,FALSE),"")</f>
        <v/>
      </c>
      <c r="AX146" s="29" t="str">
        <f>IFERROR(HLOOKUP($D146,[37]●!$D$1:$AH$10,AX$3,FALSE),"")</f>
        <v/>
      </c>
      <c r="AY146" s="29" t="str">
        <f>IFERROR(HLOOKUP($D146,[37]●!$D$1:$AH$10,AY$3,FALSE),"")</f>
        <v/>
      </c>
    </row>
    <row r="147" spans="1:51" ht="13.9" customHeight="1" x14ac:dyDescent="0.15">
      <c r="A147" s="10">
        <v>2022</v>
      </c>
      <c r="B147" s="10">
        <f t="shared" si="60"/>
        <v>12</v>
      </c>
      <c r="C147" s="67">
        <f t="shared" si="56"/>
        <v>44896</v>
      </c>
      <c r="D147" s="36">
        <f t="shared" ref="D147:D210" si="63">IF(WEEKDAY((DATE(A145,B145,1)))&gt;4,(7-(WEEKDAY((DATE(A145,B145,1)))-4))+(DATE(A145,B145,1)),4-WEEKDAY((DATE(A145,B145,1)))+(DATE(A145,B145,1)))+21</f>
        <v>44923</v>
      </c>
      <c r="E147" s="37">
        <f t="shared" si="57"/>
        <v>44923</v>
      </c>
      <c r="F147" s="14" t="str">
        <f t="shared" si="58"/>
        <v>西郡　健太</v>
      </c>
      <c r="H147" s="91"/>
      <c r="I147" s="91"/>
      <c r="J147" s="91"/>
      <c r="K147" s="91"/>
      <c r="L147" s="91"/>
      <c r="M147" s="91"/>
      <c r="N147" s="91"/>
      <c r="O147" s="106"/>
      <c r="P147" s="106"/>
      <c r="Q147" s="106"/>
      <c r="R147" s="106"/>
      <c r="S147" s="91"/>
      <c r="T147" s="91"/>
      <c r="U147" s="91"/>
      <c r="V147" s="91"/>
      <c r="W147" s="91"/>
      <c r="X147" s="106"/>
      <c r="Y147" s="91"/>
      <c r="Z147" s="91"/>
      <c r="AA147" s="91"/>
      <c r="AB147" s="91"/>
      <c r="AC147" s="91"/>
      <c r="AD147" s="91"/>
      <c r="AE147" s="91"/>
      <c r="AF147" s="91"/>
      <c r="AG147" s="91"/>
      <c r="AH147" s="91"/>
      <c r="AI147" s="91">
        <v>1</v>
      </c>
      <c r="AJ147" s="91"/>
      <c r="AK147" s="91"/>
      <c r="AL147" s="91"/>
      <c r="AM147" s="93"/>
      <c r="AN147" s="93"/>
      <c r="AR147" s="69" t="str">
        <f>IFERROR(HLOOKUP(D147,[37]明!$D$1:$AH$4,AR$3,FALSE),"")</f>
        <v>山下</v>
      </c>
      <c r="AS147" s="69" t="str">
        <f>IFERROR(HLOOKUP(E147,[37]明!$D$1:$AH$4,AS$3,FALSE),"")</f>
        <v>西郡</v>
      </c>
      <c r="AT147" s="29" t="str">
        <f>IFERROR(HLOOKUP($D147,[37]●!$D$1:$AH$10,AT$3,FALSE),"")</f>
        <v/>
      </c>
      <c r="AU147" s="29" t="str">
        <f>IFERROR(HLOOKUP($D147,[37]●!$D$1:$AH$10,AU$3,FALSE),"")</f>
        <v/>
      </c>
      <c r="AV147" s="29" t="str">
        <f>IFERROR(HLOOKUP($D147,[37]●!$D$1:$AH$10,AV$3,FALSE),"")</f>
        <v/>
      </c>
      <c r="AW147" s="29" t="str">
        <f>IFERROR(HLOOKUP($D147,[37]●!$D$1:$AH$10,AW$3,FALSE),"")</f>
        <v/>
      </c>
      <c r="AX147" s="29" t="str">
        <f>IFERROR(HLOOKUP($D147,[37]●!$D$1:$AH$10,AX$3,FALSE),"")</f>
        <v/>
      </c>
      <c r="AY147" s="29" t="str">
        <f>IFERROR(HLOOKUP($D147,[37]●!$D$1:$AH$10,AY$3,FALSE),"")</f>
        <v/>
      </c>
    </row>
    <row r="148" spans="1:51" ht="13.9" customHeight="1" x14ac:dyDescent="0.15">
      <c r="A148" s="10">
        <v>2023</v>
      </c>
      <c r="B148" s="10">
        <f t="shared" si="60"/>
        <v>1</v>
      </c>
      <c r="C148" s="67">
        <f t="shared" si="56"/>
        <v>44927</v>
      </c>
      <c r="D148" s="36">
        <f t="shared" si="61"/>
        <v>44937</v>
      </c>
      <c r="E148" s="37">
        <f t="shared" si="57"/>
        <v>44937</v>
      </c>
      <c r="F148" s="14" t="str">
        <f t="shared" si="58"/>
        <v>諸田　悠也</v>
      </c>
      <c r="H148" s="91"/>
      <c r="I148" s="91"/>
      <c r="J148" s="91"/>
      <c r="K148" s="91"/>
      <c r="L148" s="91"/>
      <c r="M148" s="91"/>
      <c r="N148" s="91"/>
      <c r="O148" s="106"/>
      <c r="P148" s="106"/>
      <c r="Q148" s="106"/>
      <c r="R148" s="106"/>
      <c r="S148" s="91"/>
      <c r="T148" s="91"/>
      <c r="U148" s="91"/>
      <c r="V148" s="91"/>
      <c r="W148" s="91"/>
      <c r="X148" s="106"/>
      <c r="Y148" s="91"/>
      <c r="Z148" s="91"/>
      <c r="AA148" s="91"/>
      <c r="AB148" s="91"/>
      <c r="AC148" s="91"/>
      <c r="AD148" s="91"/>
      <c r="AE148" s="91"/>
      <c r="AF148" s="91"/>
      <c r="AG148" s="91"/>
      <c r="AH148" s="91"/>
      <c r="AI148" s="91"/>
      <c r="AJ148" s="91"/>
      <c r="AK148" s="91">
        <v>1</v>
      </c>
      <c r="AL148" s="91"/>
      <c r="AM148" s="93"/>
      <c r="AN148" s="93"/>
      <c r="AR148" s="69" t="str">
        <f>IFERROR(HLOOKUP(D148,[38]明!$D$1:$AH$4,AR$3,FALSE),"")</f>
        <v/>
      </c>
      <c r="AS148" s="69" t="str">
        <f>IFERROR(HLOOKUP(E148,[38]明!$D$1:$AH$4,AS$3,FALSE),"")</f>
        <v/>
      </c>
      <c r="AT148" s="29" t="str">
        <f>IFERROR(HLOOKUP($D148,[37]●!$D$1:$AH$10,AT$3,FALSE),"")</f>
        <v/>
      </c>
      <c r="AU148" s="29" t="str">
        <f>IFERROR(HLOOKUP($D148,[37]●!$D$1:$AH$10,AU$3,FALSE),"")</f>
        <v/>
      </c>
      <c r="AV148" s="29" t="str">
        <f>IFERROR(HLOOKUP($D148,[37]●!$D$1:$AH$10,AV$3,FALSE),"")</f>
        <v/>
      </c>
      <c r="AW148" s="29" t="str">
        <f>IFERROR(HLOOKUP($D148,[37]●!$D$1:$AH$10,AW$3,FALSE),"")</f>
        <v/>
      </c>
      <c r="AX148" s="29" t="str">
        <f>IFERROR(HLOOKUP($D148,[37]●!$D$1:$AH$10,AX$3,FALSE),"")</f>
        <v/>
      </c>
      <c r="AY148" s="29" t="str">
        <f>IFERROR(HLOOKUP($D148,[37]●!$D$1:$AH$10,AY$3,FALSE),"")</f>
        <v/>
      </c>
    </row>
    <row r="149" spans="1:51" ht="13.9" customHeight="1" x14ac:dyDescent="0.15">
      <c r="A149" s="10">
        <v>2023</v>
      </c>
      <c r="B149" s="10">
        <f t="shared" si="60"/>
        <v>1</v>
      </c>
      <c r="C149" s="67">
        <f t="shared" si="56"/>
        <v>44927</v>
      </c>
      <c r="D149" s="38">
        <f t="shared" si="62"/>
        <v>44943</v>
      </c>
      <c r="E149" s="37">
        <f t="shared" si="57"/>
        <v>44943</v>
      </c>
      <c r="F149" s="14" t="str">
        <f t="shared" si="58"/>
        <v>加藤 靖博</v>
      </c>
      <c r="H149" s="91"/>
      <c r="I149" s="91"/>
      <c r="J149" s="91"/>
      <c r="K149" s="91"/>
      <c r="L149" s="91"/>
      <c r="M149" s="91"/>
      <c r="N149" s="91"/>
      <c r="O149" s="106"/>
      <c r="P149" s="106"/>
      <c r="Q149" s="106"/>
      <c r="R149" s="106"/>
      <c r="S149" s="91"/>
      <c r="T149" s="91"/>
      <c r="U149" s="91"/>
      <c r="V149" s="91"/>
      <c r="W149" s="91"/>
      <c r="X149" s="106"/>
      <c r="Y149" s="91"/>
      <c r="Z149" s="91"/>
      <c r="AA149" s="91"/>
      <c r="AB149" s="91"/>
      <c r="AC149" s="91"/>
      <c r="AD149" s="91"/>
      <c r="AE149" s="91">
        <v>1</v>
      </c>
      <c r="AF149" s="91"/>
      <c r="AG149" s="91"/>
      <c r="AH149" s="91"/>
      <c r="AI149" s="91"/>
      <c r="AJ149" s="91"/>
      <c r="AK149" s="91"/>
      <c r="AL149" s="91"/>
      <c r="AM149" s="93"/>
      <c r="AN149" s="93"/>
      <c r="AR149" s="69" t="str">
        <f>IFERROR(HLOOKUP(D149,[38]明!$D$1:$AH$4,AR$3,FALSE),"")</f>
        <v/>
      </c>
      <c r="AS149" s="69" t="str">
        <f>IFERROR(HLOOKUP(E149,[38]明!$D$1:$AH$4,AS$3,FALSE),"")</f>
        <v/>
      </c>
      <c r="AT149" s="29" t="str">
        <f>IFERROR(HLOOKUP($D149,[37]●!$D$1:$AH$10,AT$3,FALSE),"")</f>
        <v/>
      </c>
      <c r="AU149" s="29" t="str">
        <f>IFERROR(HLOOKUP($D149,[37]●!$D$1:$AH$10,AU$3,FALSE),"")</f>
        <v/>
      </c>
      <c r="AV149" s="29" t="str">
        <f>IFERROR(HLOOKUP($D149,[37]●!$D$1:$AH$10,AV$3,FALSE),"")</f>
        <v/>
      </c>
      <c r="AW149" s="29" t="str">
        <f>IFERROR(HLOOKUP($D149,[37]●!$D$1:$AH$10,AW$3,FALSE),"")</f>
        <v/>
      </c>
      <c r="AX149" s="29" t="str">
        <f>IFERROR(HLOOKUP($D149,[37]●!$D$1:$AH$10,AX$3,FALSE),"")</f>
        <v/>
      </c>
      <c r="AY149" s="29" t="str">
        <f>IFERROR(HLOOKUP($D149,[37]●!$D$1:$AH$10,AY$3,FALSE),"")</f>
        <v/>
      </c>
    </row>
    <row r="150" spans="1:51" ht="13.9" customHeight="1" x14ac:dyDescent="0.15">
      <c r="A150" s="10">
        <v>2023</v>
      </c>
      <c r="B150" s="10">
        <f t="shared" si="60"/>
        <v>1</v>
      </c>
      <c r="C150" s="67">
        <f t="shared" si="56"/>
        <v>44927</v>
      </c>
      <c r="D150" s="36">
        <f t="shared" si="63"/>
        <v>44951</v>
      </c>
      <c r="E150" s="37">
        <f t="shared" si="57"/>
        <v>44951</v>
      </c>
      <c r="F150" s="14" t="str">
        <f t="shared" si="58"/>
        <v>齊藤 久紘</v>
      </c>
      <c r="H150" s="91"/>
      <c r="I150" s="91"/>
      <c r="J150" s="91"/>
      <c r="K150" s="91"/>
      <c r="L150" s="91"/>
      <c r="M150" s="91"/>
      <c r="N150" s="91"/>
      <c r="O150" s="106"/>
      <c r="P150" s="106"/>
      <c r="Q150" s="106"/>
      <c r="R150" s="106"/>
      <c r="S150" s="91"/>
      <c r="T150" s="91"/>
      <c r="U150" s="91"/>
      <c r="V150" s="91"/>
      <c r="W150" s="91"/>
      <c r="X150" s="106"/>
      <c r="Y150" s="91"/>
      <c r="Z150" s="91"/>
      <c r="AA150" s="91"/>
      <c r="AB150" s="91">
        <v>1</v>
      </c>
      <c r="AC150" s="91"/>
      <c r="AD150" s="91"/>
      <c r="AE150" s="91"/>
      <c r="AF150" s="91"/>
      <c r="AG150" s="91"/>
      <c r="AH150" s="91"/>
      <c r="AI150" s="91"/>
      <c r="AJ150" s="91"/>
      <c r="AK150" s="91"/>
      <c r="AL150" s="91"/>
      <c r="AM150" s="93"/>
      <c r="AN150" s="93"/>
      <c r="AR150" s="69" t="str">
        <f>IFERROR(HLOOKUP(D150,[38]明!$D$1:$AH$4,AR$3,FALSE),"")</f>
        <v/>
      </c>
      <c r="AS150" s="69" t="str">
        <f>IFERROR(HLOOKUP(E150,[38]明!$D$1:$AH$4,AS$3,FALSE),"")</f>
        <v/>
      </c>
      <c r="AT150" s="29" t="str">
        <f>IFERROR(HLOOKUP($D150,[37]●!$D$1:$AH$10,AT$3,FALSE),"")</f>
        <v/>
      </c>
      <c r="AU150" s="29" t="str">
        <f>IFERROR(HLOOKUP($D150,[37]●!$D$1:$AH$10,AU$3,FALSE),"")</f>
        <v/>
      </c>
      <c r="AV150" s="29" t="str">
        <f>IFERROR(HLOOKUP($D150,[37]●!$D$1:$AH$10,AV$3,FALSE),"")</f>
        <v/>
      </c>
      <c r="AW150" s="29" t="str">
        <f>IFERROR(HLOOKUP($D150,[37]●!$D$1:$AH$10,AW$3,FALSE),"")</f>
        <v/>
      </c>
      <c r="AX150" s="29" t="str">
        <f>IFERROR(HLOOKUP($D150,[37]●!$D$1:$AH$10,AX$3,FALSE),"")</f>
        <v/>
      </c>
      <c r="AY150" s="29" t="str">
        <f>IFERROR(HLOOKUP($D150,[37]●!$D$1:$AH$10,AY$3,FALSE),"")</f>
        <v/>
      </c>
    </row>
    <row r="151" spans="1:51" ht="13.9" customHeight="1" x14ac:dyDescent="0.15">
      <c r="A151" s="10">
        <v>2023</v>
      </c>
      <c r="B151" s="10">
        <f t="shared" si="60"/>
        <v>2</v>
      </c>
      <c r="C151" s="67">
        <f t="shared" si="56"/>
        <v>44958</v>
      </c>
      <c r="D151" s="36">
        <f t="shared" si="61"/>
        <v>44965</v>
      </c>
      <c r="E151" s="37">
        <f t="shared" si="57"/>
        <v>44965</v>
      </c>
      <c r="F151" s="14" t="str">
        <f t="shared" si="58"/>
        <v>山本 浩之</v>
      </c>
      <c r="H151" s="91"/>
      <c r="I151" s="91"/>
      <c r="J151" s="91"/>
      <c r="K151" s="91"/>
      <c r="L151" s="91"/>
      <c r="M151" s="91"/>
      <c r="N151" s="91"/>
      <c r="O151" s="106"/>
      <c r="P151" s="106">
        <v>1</v>
      </c>
      <c r="Q151" s="106"/>
      <c r="R151" s="106"/>
      <c r="S151" s="91"/>
      <c r="T151" s="91"/>
      <c r="U151" s="91"/>
      <c r="V151" s="91"/>
      <c r="W151" s="91"/>
      <c r="X151" s="106"/>
      <c r="Y151" s="91"/>
      <c r="Z151" s="91"/>
      <c r="AA151" s="91"/>
      <c r="AB151" s="91"/>
      <c r="AC151" s="91"/>
      <c r="AD151" s="91"/>
      <c r="AE151" s="91"/>
      <c r="AF151" s="91"/>
      <c r="AG151" s="91"/>
      <c r="AH151" s="91"/>
      <c r="AI151" s="91"/>
      <c r="AJ151" s="91"/>
      <c r="AK151" s="91"/>
      <c r="AL151" s="91"/>
      <c r="AM151" s="93"/>
      <c r="AN151" s="93"/>
      <c r="AR151" s="69" t="str">
        <f>IFERROR(HLOOKUP(D151,[39]明!$D$1:$AH$4,AR$3,FALSE),"")</f>
        <v/>
      </c>
      <c r="AS151" s="69" t="str">
        <f>IFERROR(HLOOKUP(E151,[39]明!$D$1:$AH$4,AS$3,FALSE),"")</f>
        <v/>
      </c>
      <c r="AT151" s="29" t="str">
        <f>IFERROR(HLOOKUP($D151,[39]●!$D$1:$AH$10,AT$3,FALSE),"")</f>
        <v/>
      </c>
      <c r="AU151" s="29" t="str">
        <f>IFERROR(HLOOKUP($D151,[39]●!$D$1:$AH$10,AU$3,FALSE),"")</f>
        <v/>
      </c>
      <c r="AV151" s="29" t="str">
        <f>IFERROR(HLOOKUP($D151,[39]●!$D$1:$AH$10,AV$3,FALSE),"")</f>
        <v/>
      </c>
      <c r="AW151" s="29" t="str">
        <f>IFERROR(HLOOKUP($D151,[39]●!$D$1:$AH$10,AW$3,FALSE),"")</f>
        <v/>
      </c>
      <c r="AX151" s="29" t="str">
        <f>IFERROR(HLOOKUP($D151,[39]●!$D$1:$AH$10,AX$3,FALSE),"")</f>
        <v/>
      </c>
      <c r="AY151" s="29" t="str">
        <f>IFERROR(HLOOKUP($D151,[39]●!$D$1:$AH$10,AY$3,FALSE),"")</f>
        <v/>
      </c>
    </row>
    <row r="152" spans="1:51" ht="13.9" customHeight="1" x14ac:dyDescent="0.15">
      <c r="A152" s="10">
        <v>2023</v>
      </c>
      <c r="B152" s="10">
        <f t="shared" si="60"/>
        <v>2</v>
      </c>
      <c r="C152" s="67">
        <f t="shared" si="56"/>
        <v>44958</v>
      </c>
      <c r="D152" s="38">
        <f t="shared" si="62"/>
        <v>44978</v>
      </c>
      <c r="E152" s="37">
        <f t="shared" si="57"/>
        <v>44978</v>
      </c>
      <c r="F152" s="14" t="str">
        <f t="shared" si="58"/>
        <v>田村 能之</v>
      </c>
      <c r="H152" s="91"/>
      <c r="I152" s="91"/>
      <c r="J152" s="91"/>
      <c r="K152" s="91"/>
      <c r="L152" s="91"/>
      <c r="M152" s="91"/>
      <c r="N152" s="91"/>
      <c r="O152" s="106"/>
      <c r="P152" s="106"/>
      <c r="Q152" s="106"/>
      <c r="R152" s="106"/>
      <c r="S152" s="91"/>
      <c r="T152" s="91"/>
      <c r="U152" s="91"/>
      <c r="V152" s="91"/>
      <c r="W152" s="91"/>
      <c r="X152" s="106"/>
      <c r="Y152" s="91"/>
      <c r="Z152" s="91"/>
      <c r="AA152" s="91">
        <v>1</v>
      </c>
      <c r="AB152" s="91"/>
      <c r="AC152" s="91"/>
      <c r="AD152" s="91"/>
      <c r="AE152" s="91"/>
      <c r="AF152" s="91"/>
      <c r="AG152" s="91"/>
      <c r="AH152" s="91"/>
      <c r="AI152" s="91"/>
      <c r="AJ152" s="91"/>
      <c r="AK152" s="91"/>
      <c r="AL152" s="91"/>
      <c r="AM152" s="93"/>
      <c r="AN152" s="93"/>
      <c r="AR152" s="69" t="str">
        <f>IFERROR(HLOOKUP(D152,[39]明!$D$1:$AH$4,AR$3,FALSE),"")</f>
        <v/>
      </c>
      <c r="AS152" s="69" t="str">
        <f>IFERROR(HLOOKUP(E152,[39]明!$D$1:$AH$4,AS$3,FALSE),"")</f>
        <v/>
      </c>
      <c r="AT152" s="29" t="str">
        <f>IFERROR(HLOOKUP($D152,[39]●!$D$1:$AH$10,AT$3,FALSE),"")</f>
        <v/>
      </c>
      <c r="AU152" s="29" t="str">
        <f>IFERROR(HLOOKUP($D152,[39]●!$D$1:$AH$10,AU$3,FALSE),"")</f>
        <v/>
      </c>
      <c r="AV152" s="29" t="str">
        <f>IFERROR(HLOOKUP($D152,[39]●!$D$1:$AH$10,AV$3,FALSE),"")</f>
        <v/>
      </c>
      <c r="AW152" s="29" t="str">
        <f>IFERROR(HLOOKUP($D152,[39]●!$D$1:$AH$10,AW$3,FALSE),"")</f>
        <v/>
      </c>
      <c r="AX152" s="29" t="str">
        <f>IFERROR(HLOOKUP($D152,[39]●!$D$1:$AH$10,AX$3,FALSE),"")</f>
        <v/>
      </c>
      <c r="AY152" s="29" t="str">
        <f>IFERROR(HLOOKUP($D152,[39]●!$D$1:$AH$10,AY$3,FALSE),"")</f>
        <v/>
      </c>
    </row>
    <row r="153" spans="1:51" ht="13.9" customHeight="1" x14ac:dyDescent="0.15">
      <c r="A153" s="10">
        <v>2023</v>
      </c>
      <c r="B153" s="10">
        <f t="shared" si="60"/>
        <v>2</v>
      </c>
      <c r="C153" s="67">
        <f t="shared" si="56"/>
        <v>44958</v>
      </c>
      <c r="D153" s="36">
        <f t="shared" si="63"/>
        <v>44979</v>
      </c>
      <c r="E153" s="37">
        <f t="shared" si="57"/>
        <v>44979</v>
      </c>
      <c r="F153" s="14" t="str">
        <f t="shared" si="58"/>
        <v>庵　緋沙子</v>
      </c>
      <c r="H153" s="91"/>
      <c r="I153" s="91"/>
      <c r="J153" s="91"/>
      <c r="K153" s="91"/>
      <c r="L153" s="91"/>
      <c r="M153" s="91"/>
      <c r="N153" s="91"/>
      <c r="O153" s="106"/>
      <c r="P153" s="106"/>
      <c r="Q153" s="106"/>
      <c r="R153" s="106"/>
      <c r="S153" s="91"/>
      <c r="T153" s="91"/>
      <c r="U153" s="91"/>
      <c r="V153" s="91"/>
      <c r="W153" s="91"/>
      <c r="X153" s="106"/>
      <c r="Y153" s="91"/>
      <c r="Z153" s="91"/>
      <c r="AA153" s="91"/>
      <c r="AB153" s="91"/>
      <c r="AC153" s="91"/>
      <c r="AD153" s="91"/>
      <c r="AE153" s="91"/>
      <c r="AF153" s="91"/>
      <c r="AG153" s="91"/>
      <c r="AH153" s="91"/>
      <c r="AI153" s="91"/>
      <c r="AJ153" s="91"/>
      <c r="AK153" s="91"/>
      <c r="AL153" s="91">
        <v>1</v>
      </c>
      <c r="AM153" s="93"/>
      <c r="AN153" s="93"/>
      <c r="AR153" s="69" t="str">
        <f>IFERROR(HLOOKUP(D153,[39]明!$D$1:$AH$4,AR$3,FALSE),"")</f>
        <v/>
      </c>
      <c r="AS153" s="69" t="str">
        <f>IFERROR(HLOOKUP(E153,[39]明!$D$1:$AH$4,AS$3,FALSE),"")</f>
        <v/>
      </c>
      <c r="AT153" s="29" t="str">
        <f>IFERROR(HLOOKUP($D153,[39]●!$D$1:$AH$10,AT$3,FALSE),"")</f>
        <v/>
      </c>
      <c r="AU153" s="29" t="str">
        <f>IFERROR(HLOOKUP($D153,[39]●!$D$1:$AH$10,AU$3,FALSE),"")</f>
        <v/>
      </c>
      <c r="AV153" s="29" t="str">
        <f>IFERROR(HLOOKUP($D153,[39]●!$D$1:$AH$10,AV$3,FALSE),"")</f>
        <v/>
      </c>
      <c r="AW153" s="29" t="str">
        <f>IFERROR(HLOOKUP($D153,[39]●!$D$1:$AH$10,AW$3,FALSE),"")</f>
        <v/>
      </c>
      <c r="AX153" s="29" t="str">
        <f>IFERROR(HLOOKUP($D153,[39]●!$D$1:$AH$10,AX$3,FALSE),"")</f>
        <v/>
      </c>
      <c r="AY153" s="29" t="str">
        <f>IFERROR(HLOOKUP($D153,[39]●!$D$1:$AH$10,AY$3,FALSE),"")</f>
        <v/>
      </c>
    </row>
    <row r="154" spans="1:51" ht="13.9" customHeight="1" x14ac:dyDescent="0.15">
      <c r="A154" s="10">
        <v>2023</v>
      </c>
      <c r="B154" s="10">
        <f t="shared" si="60"/>
        <v>3</v>
      </c>
      <c r="C154" s="67">
        <f t="shared" si="56"/>
        <v>44986</v>
      </c>
      <c r="D154" s="36">
        <f t="shared" si="61"/>
        <v>44993</v>
      </c>
      <c r="E154" s="37">
        <f t="shared" si="57"/>
        <v>44993</v>
      </c>
      <c r="F154" s="14" t="str">
        <f t="shared" si="58"/>
        <v>小川 穂波</v>
      </c>
      <c r="H154" s="91"/>
      <c r="I154" s="91"/>
      <c r="J154" s="91"/>
      <c r="K154" s="91"/>
      <c r="L154" s="91"/>
      <c r="M154" s="91"/>
      <c r="N154" s="91"/>
      <c r="O154" s="106"/>
      <c r="P154" s="106"/>
      <c r="Q154" s="106"/>
      <c r="R154" s="106"/>
      <c r="S154" s="91"/>
      <c r="T154" s="91"/>
      <c r="U154" s="91"/>
      <c r="V154" s="91"/>
      <c r="W154" s="91"/>
      <c r="X154" s="106"/>
      <c r="Y154" s="91"/>
      <c r="Z154" s="91"/>
      <c r="AA154" s="91"/>
      <c r="AB154" s="91"/>
      <c r="AC154" s="91"/>
      <c r="AD154" s="91"/>
      <c r="AE154" s="91"/>
      <c r="AF154" s="91"/>
      <c r="AG154" s="91"/>
      <c r="AH154" s="91">
        <v>1</v>
      </c>
      <c r="AI154" s="91"/>
      <c r="AJ154" s="91"/>
      <c r="AK154" s="91"/>
      <c r="AL154" s="91"/>
      <c r="AM154" s="93"/>
      <c r="AN154" s="93"/>
      <c r="AR154" s="69" t="str">
        <f>IFERROR(HLOOKUP(D154,[39]明!$D$1:$AH$4,AR$3,FALSE),"")</f>
        <v>齊藤</v>
      </c>
      <c r="AS154" s="69" t="str">
        <f>IFERROR(HLOOKUP(E154,[39]明!$D$1:$AH$4,AS$3,FALSE),"")</f>
        <v>加藤</v>
      </c>
      <c r="AT154" s="29" t="str">
        <f>IFERROR(HLOOKUP($D154,[39]●!$D$1:$AH$10,AT$3,FALSE),"")</f>
        <v/>
      </c>
      <c r="AU154" s="29" t="str">
        <f>IFERROR(HLOOKUP($D154,[39]●!$D$1:$AH$10,AU$3,FALSE),"")</f>
        <v/>
      </c>
      <c r="AV154" s="29" t="str">
        <f>IFERROR(HLOOKUP($D154,[39]●!$D$1:$AH$10,AV$3,FALSE),"")</f>
        <v/>
      </c>
      <c r="AW154" s="29" t="str">
        <f>IFERROR(HLOOKUP($D154,[39]●!$D$1:$AH$10,AW$3,FALSE),"")</f>
        <v/>
      </c>
      <c r="AX154" s="29" t="str">
        <f>IFERROR(HLOOKUP($D154,[39]●!$D$1:$AH$10,AX$3,FALSE),"")</f>
        <v/>
      </c>
      <c r="AY154" s="29" t="str">
        <f>IFERROR(HLOOKUP($D154,[39]●!$D$1:$AH$10,AY$3,FALSE),"")</f>
        <v/>
      </c>
    </row>
    <row r="155" spans="1:51" ht="13.9" customHeight="1" x14ac:dyDescent="0.15">
      <c r="A155" s="10">
        <v>2023</v>
      </c>
      <c r="B155" s="10">
        <f t="shared" si="60"/>
        <v>3</v>
      </c>
      <c r="C155" s="67">
        <f t="shared" si="56"/>
        <v>44986</v>
      </c>
      <c r="D155" s="38">
        <f t="shared" si="62"/>
        <v>45006</v>
      </c>
      <c r="E155" s="37">
        <f t="shared" si="57"/>
        <v>45006</v>
      </c>
      <c r="F155" s="14" t="str">
        <f t="shared" si="58"/>
        <v>加藤 靖博</v>
      </c>
      <c r="H155" s="91"/>
      <c r="I155" s="91"/>
      <c r="J155" s="91"/>
      <c r="K155" s="91"/>
      <c r="L155" s="91"/>
      <c r="M155" s="91"/>
      <c r="N155" s="91"/>
      <c r="O155" s="106"/>
      <c r="P155" s="106"/>
      <c r="Q155" s="106"/>
      <c r="R155" s="106"/>
      <c r="S155" s="91"/>
      <c r="T155" s="91"/>
      <c r="U155" s="91"/>
      <c r="V155" s="91"/>
      <c r="W155" s="91"/>
      <c r="X155" s="106"/>
      <c r="Y155" s="91"/>
      <c r="Z155" s="91"/>
      <c r="AA155" s="91"/>
      <c r="AB155" s="91"/>
      <c r="AC155" s="91"/>
      <c r="AD155" s="91"/>
      <c r="AE155" s="91">
        <v>1</v>
      </c>
      <c r="AF155" s="91"/>
      <c r="AG155" s="91"/>
      <c r="AH155" s="91"/>
      <c r="AI155" s="91"/>
      <c r="AJ155" s="91"/>
      <c r="AK155" s="91"/>
      <c r="AL155" s="91"/>
      <c r="AM155" s="93"/>
      <c r="AN155" s="93"/>
      <c r="AR155" s="69" t="str">
        <f>IFERROR(HLOOKUP(D155,[39]明!$D$1:$AH$4,AR$3,FALSE),"")</f>
        <v>諸田</v>
      </c>
      <c r="AS155" s="69" t="str">
        <f>IFERROR(HLOOKUP(E155,[39]明!$D$1:$AH$4,AS$3,FALSE),"")</f>
        <v>中村公</v>
      </c>
      <c r="AT155" s="29" t="str">
        <f>IFERROR(HLOOKUP($D155,[39]●!$D$1:$AH$10,AT$3,FALSE),"")</f>
        <v/>
      </c>
      <c r="AU155" s="29" t="str">
        <f>IFERROR(HLOOKUP($D155,[39]●!$D$1:$AH$10,AU$3,FALSE),"")</f>
        <v/>
      </c>
      <c r="AV155" s="29" t="str">
        <f>IFERROR(HLOOKUP($D155,[39]●!$D$1:$AH$10,AV$3,FALSE),"")</f>
        <v/>
      </c>
      <c r="AW155" s="29" t="str">
        <f>IFERROR(HLOOKUP($D155,[39]●!$D$1:$AH$10,AW$3,FALSE),"")</f>
        <v/>
      </c>
      <c r="AX155" s="29" t="str">
        <f>IFERROR(HLOOKUP($D155,[39]●!$D$1:$AH$10,AX$3,FALSE),"")</f>
        <v/>
      </c>
      <c r="AY155" s="29" t="str">
        <f>IFERROR(HLOOKUP($D155,[39]●!$D$1:$AH$10,AY$3,FALSE),"")</f>
        <v/>
      </c>
    </row>
    <row r="156" spans="1:51" ht="13.9" customHeight="1" x14ac:dyDescent="0.15">
      <c r="A156" s="10">
        <v>2023</v>
      </c>
      <c r="B156" s="10">
        <f t="shared" si="60"/>
        <v>3</v>
      </c>
      <c r="C156" s="67">
        <f t="shared" si="56"/>
        <v>44986</v>
      </c>
      <c r="D156" s="36">
        <f t="shared" si="63"/>
        <v>45007</v>
      </c>
      <c r="E156" s="37">
        <f t="shared" si="57"/>
        <v>45007</v>
      </c>
      <c r="F156" s="14" t="str">
        <f t="shared" si="58"/>
        <v>片岡 恵梨子</v>
      </c>
      <c r="H156" s="91"/>
      <c r="I156" s="91"/>
      <c r="J156" s="91"/>
      <c r="K156" s="91"/>
      <c r="L156" s="91"/>
      <c r="M156" s="91"/>
      <c r="N156" s="91"/>
      <c r="O156" s="106"/>
      <c r="P156" s="106"/>
      <c r="Q156" s="106"/>
      <c r="R156" s="106"/>
      <c r="S156" s="91"/>
      <c r="T156" s="91"/>
      <c r="U156" s="91"/>
      <c r="V156" s="91"/>
      <c r="W156" s="91"/>
      <c r="X156" s="106"/>
      <c r="Y156" s="91"/>
      <c r="Z156" s="91"/>
      <c r="AA156" s="91"/>
      <c r="AB156" s="91"/>
      <c r="AC156" s="91">
        <v>1</v>
      </c>
      <c r="AD156" s="91"/>
      <c r="AE156" s="91"/>
      <c r="AF156" s="91"/>
      <c r="AG156" s="91"/>
      <c r="AH156" s="91"/>
      <c r="AI156" s="91"/>
      <c r="AJ156" s="91"/>
      <c r="AK156" s="91"/>
      <c r="AL156" s="91"/>
      <c r="AM156" s="93"/>
      <c r="AN156" s="93"/>
      <c r="AR156" s="95" t="str">
        <f>IFERROR(HLOOKUP(D156,[39]明!$D$1:$AH$4,AR$3,FALSE),"")</f>
        <v>佐藤恵</v>
      </c>
      <c r="AS156" s="95" t="str">
        <f>IFERROR(HLOOKUP(E156,[39]明!$D$1:$AH$4,AS$3,FALSE),"")</f>
        <v>袋</v>
      </c>
      <c r="AT156" s="96" t="str">
        <f>IFERROR(HLOOKUP($D156,[39]●!$D$1:$AH$10,AT$3,FALSE),"")</f>
        <v/>
      </c>
      <c r="AU156" s="96" t="str">
        <f>IFERROR(HLOOKUP($D156,[39]●!$D$1:$AH$10,AU$3,FALSE),"")</f>
        <v/>
      </c>
      <c r="AV156" s="96" t="str">
        <f>IFERROR(HLOOKUP($D156,[39]●!$D$1:$AH$10,AV$3,FALSE),"")</f>
        <v/>
      </c>
      <c r="AW156" s="96" t="str">
        <f>IFERROR(HLOOKUP($D156,[39]●!$D$1:$AH$10,AW$3,FALSE),"")</f>
        <v/>
      </c>
      <c r="AX156" s="96" t="str">
        <f>IFERROR(HLOOKUP($D156,[39]●!$D$1:$AH$10,AX$3,FALSE),"")</f>
        <v/>
      </c>
      <c r="AY156" s="96" t="str">
        <f>IFERROR(HLOOKUP($D156,[39]●!$D$1:$AH$10,AY$3,FALSE),"")</f>
        <v/>
      </c>
    </row>
    <row r="157" spans="1:51" ht="13.9" customHeight="1" x14ac:dyDescent="0.15">
      <c r="A157" s="10">
        <v>2023</v>
      </c>
      <c r="B157" s="10">
        <f t="shared" si="60"/>
        <v>4</v>
      </c>
      <c r="C157" s="67">
        <f t="shared" si="56"/>
        <v>45017</v>
      </c>
      <c r="D157" s="36">
        <f t="shared" si="61"/>
        <v>45028</v>
      </c>
      <c r="E157" s="37">
        <f t="shared" si="57"/>
        <v>45028</v>
      </c>
      <c r="F157" s="14" t="str">
        <f t="shared" si="58"/>
        <v>庵　緋沙子</v>
      </c>
      <c r="H157" s="91"/>
      <c r="I157" s="91"/>
      <c r="J157" s="91"/>
      <c r="K157" s="91"/>
      <c r="L157" s="91"/>
      <c r="M157" s="91"/>
      <c r="N157" s="91"/>
      <c r="O157" s="106"/>
      <c r="P157" s="106"/>
      <c r="Q157" s="106"/>
      <c r="R157" s="106"/>
      <c r="S157" s="91"/>
      <c r="T157" s="91"/>
      <c r="U157" s="91"/>
      <c r="V157" s="91"/>
      <c r="W157" s="91"/>
      <c r="X157" s="106"/>
      <c r="Y157" s="91"/>
      <c r="Z157" s="91"/>
      <c r="AA157" s="91"/>
      <c r="AB157" s="91"/>
      <c r="AC157" s="91"/>
      <c r="AD157" s="91"/>
      <c r="AE157" s="91"/>
      <c r="AF157" s="91"/>
      <c r="AG157" s="91"/>
      <c r="AH157" s="91"/>
      <c r="AI157" s="91"/>
      <c r="AJ157" s="91"/>
      <c r="AK157" s="91"/>
      <c r="AL157" s="91">
        <v>1</v>
      </c>
      <c r="AM157" s="93"/>
      <c r="AN157" s="93"/>
      <c r="AR157" s="95" t="str">
        <f>IFERROR(HLOOKUP(D157,[40]明!$D$1:$AH$4,AR$3,FALSE),"")</f>
        <v/>
      </c>
      <c r="AS157" s="95" t="str">
        <f>IFERROR(HLOOKUP(E157,[40]明!$D$1:$AH$4,AS$3,FALSE),"")</f>
        <v/>
      </c>
      <c r="AT157" s="96" t="str">
        <f>IFERROR(HLOOKUP($D157,[40]●!$D$1:$AH$10,AT$3,FALSE),"")</f>
        <v/>
      </c>
      <c r="AU157" s="96" t="str">
        <f>IFERROR(HLOOKUP($D157,[40]●!$D$1:$AH$10,AU$3,FALSE),"")</f>
        <v/>
      </c>
      <c r="AV157" s="96" t="str">
        <f>IFERROR(HLOOKUP($D157,[40]●!$D$1:$AH$10,AV$3,FALSE),"")</f>
        <v/>
      </c>
      <c r="AW157" s="96" t="str">
        <f>IFERROR(HLOOKUP($D157,[40]●!$D$1:$AH$10,AW$3,FALSE),"")</f>
        <v/>
      </c>
      <c r="AX157" s="96" t="str">
        <f>IFERROR(HLOOKUP($D157,[40]●!$D$1:$AH$10,AX$3,FALSE),"")</f>
        <v/>
      </c>
      <c r="AY157" s="96" t="str">
        <f>IFERROR(HLOOKUP($D157,[40]●!$D$1:$AH$10,AY$3,FALSE),"")</f>
        <v/>
      </c>
    </row>
    <row r="158" spans="1:51" ht="13.9" customHeight="1" x14ac:dyDescent="0.15">
      <c r="A158" s="10">
        <v>2023</v>
      </c>
      <c r="B158" s="10">
        <f t="shared" si="60"/>
        <v>4</v>
      </c>
      <c r="C158" s="67">
        <f t="shared" ref="C158:C193" si="64">DATE(A158,B158,1)</f>
        <v>45017</v>
      </c>
      <c r="D158" s="38">
        <f t="shared" si="62"/>
        <v>45034</v>
      </c>
      <c r="E158" s="37">
        <f t="shared" si="57"/>
        <v>45034</v>
      </c>
      <c r="F158" s="14" t="str">
        <f t="shared" si="58"/>
        <v>林 亮子</v>
      </c>
      <c r="H158" s="91"/>
      <c r="I158" s="91"/>
      <c r="J158" s="91"/>
      <c r="K158" s="91"/>
      <c r="L158" s="91"/>
      <c r="M158" s="91"/>
      <c r="N158" s="91"/>
      <c r="O158" s="106"/>
      <c r="P158" s="106"/>
      <c r="Q158" s="106"/>
      <c r="R158" s="106"/>
      <c r="S158" s="91"/>
      <c r="T158" s="91"/>
      <c r="U158" s="91"/>
      <c r="V158" s="91"/>
      <c r="W158" s="91"/>
      <c r="X158" s="106"/>
      <c r="Y158" s="91">
        <v>1</v>
      </c>
      <c r="Z158" s="91"/>
      <c r="AA158" s="91"/>
      <c r="AB158" s="91"/>
      <c r="AC158" s="91"/>
      <c r="AD158" s="91"/>
      <c r="AE158" s="91"/>
      <c r="AF158" s="91"/>
      <c r="AG158" s="91"/>
      <c r="AH158" s="91"/>
      <c r="AI158" s="91"/>
      <c r="AJ158" s="91"/>
      <c r="AK158" s="91"/>
      <c r="AL158" s="91"/>
      <c r="AM158" s="93"/>
      <c r="AN158" s="93"/>
      <c r="AR158" s="95" t="str">
        <f>IFERROR(HLOOKUP(D158,[40]明!$D$1:$AH$4,AR$3,FALSE),"")</f>
        <v/>
      </c>
      <c r="AS158" s="95" t="str">
        <f>IFERROR(HLOOKUP(E158,[40]明!$D$1:$AH$4,AS$3,FALSE),"")</f>
        <v/>
      </c>
      <c r="AT158" s="96" t="str">
        <f>IFERROR(HLOOKUP($D158,[40]●!$D$1:$AH$10,AT$3,FALSE),"")</f>
        <v/>
      </c>
      <c r="AU158" s="96" t="str">
        <f>IFERROR(HLOOKUP($D158,[40]●!$D$1:$AH$10,AU$3,FALSE),"")</f>
        <v/>
      </c>
      <c r="AV158" s="96" t="str">
        <f>IFERROR(HLOOKUP($D158,[40]●!$D$1:$AH$10,AV$3,FALSE),"")</f>
        <v/>
      </c>
      <c r="AW158" s="96" t="str">
        <f>IFERROR(HLOOKUP($D158,[40]●!$D$1:$AH$10,AW$3,FALSE),"")</f>
        <v/>
      </c>
      <c r="AX158" s="96" t="str">
        <f>IFERROR(HLOOKUP($D158,[40]●!$D$1:$AH$10,AX$3,FALSE),"")</f>
        <v/>
      </c>
      <c r="AY158" s="96" t="str">
        <f>IFERROR(HLOOKUP($D158,[40]●!$D$1:$AH$10,AY$3,FALSE),"")</f>
        <v/>
      </c>
    </row>
    <row r="159" spans="1:51" ht="13.9" customHeight="1" x14ac:dyDescent="0.15">
      <c r="A159" s="10">
        <v>2023</v>
      </c>
      <c r="B159" s="10">
        <f t="shared" si="60"/>
        <v>4</v>
      </c>
      <c r="C159" s="67">
        <f t="shared" si="64"/>
        <v>45017</v>
      </c>
      <c r="D159" s="36">
        <f t="shared" si="63"/>
        <v>45042</v>
      </c>
      <c r="E159" s="37">
        <f t="shared" ref="E159:E222" si="65">D159</f>
        <v>45042</v>
      </c>
      <c r="F159" s="14" t="str">
        <f t="shared" ref="F159:F222" si="66">IFERROR(INDEX($H$1:$AN$1,1,MATCH(1,H159:AN159)),"")</f>
        <v>長田 弘二</v>
      </c>
      <c r="H159" s="91"/>
      <c r="I159" s="91"/>
      <c r="J159" s="91"/>
      <c r="K159" s="91"/>
      <c r="L159" s="91"/>
      <c r="M159" s="91"/>
      <c r="N159" s="91"/>
      <c r="O159" s="106"/>
      <c r="P159" s="106"/>
      <c r="Q159" s="106"/>
      <c r="R159" s="106"/>
      <c r="S159" s="91"/>
      <c r="T159" s="91"/>
      <c r="U159" s="91"/>
      <c r="V159" s="91">
        <v>1</v>
      </c>
      <c r="W159" s="91"/>
      <c r="X159" s="106"/>
      <c r="Y159" s="91"/>
      <c r="Z159" s="91"/>
      <c r="AA159" s="91"/>
      <c r="AB159" s="91"/>
      <c r="AC159" s="91"/>
      <c r="AD159" s="91"/>
      <c r="AE159" s="91"/>
      <c r="AF159" s="91"/>
      <c r="AG159" s="91"/>
      <c r="AH159" s="91"/>
      <c r="AI159" s="91"/>
      <c r="AJ159" s="91"/>
      <c r="AK159" s="91"/>
      <c r="AL159" s="91"/>
      <c r="AM159" s="93"/>
      <c r="AN159" s="93"/>
      <c r="AR159" s="95" t="str">
        <f>IFERROR(HLOOKUP(D159,[40]明!$D$1:$AH$4,AR$3,FALSE),"")</f>
        <v/>
      </c>
      <c r="AS159" s="95" t="str">
        <f>IFERROR(HLOOKUP(E159,[40]明!$D$1:$AH$4,AS$3,FALSE),"")</f>
        <v/>
      </c>
      <c r="AT159" s="96" t="str">
        <f>IFERROR(HLOOKUP($D159,[40]●!$D$1:$AH$10,AT$3,FALSE),"")</f>
        <v/>
      </c>
      <c r="AU159" s="96" t="str">
        <f>IFERROR(HLOOKUP($D159,[40]●!$D$1:$AH$10,AU$3,FALSE),"")</f>
        <v/>
      </c>
      <c r="AV159" s="96" t="str">
        <f>IFERROR(HLOOKUP($D159,[40]●!$D$1:$AH$10,AV$3,FALSE),"")</f>
        <v/>
      </c>
      <c r="AW159" s="96" t="str">
        <f>IFERROR(HLOOKUP($D159,[40]●!$D$1:$AH$10,AW$3,FALSE),"")</f>
        <v/>
      </c>
      <c r="AX159" s="96" t="str">
        <f>IFERROR(HLOOKUP($D159,[40]●!$D$1:$AH$10,AX$3,FALSE),"")</f>
        <v/>
      </c>
      <c r="AY159" s="96" t="str">
        <f>IFERROR(HLOOKUP($D159,[40]●!$D$1:$AH$10,AY$3,FALSE),"")</f>
        <v/>
      </c>
    </row>
    <row r="160" spans="1:51" ht="13.9" customHeight="1" x14ac:dyDescent="0.15">
      <c r="A160" s="10">
        <v>2023</v>
      </c>
      <c r="B160" s="10">
        <f t="shared" si="60"/>
        <v>5</v>
      </c>
      <c r="C160" s="67">
        <f t="shared" si="64"/>
        <v>45047</v>
      </c>
      <c r="D160" s="36">
        <f t="shared" si="61"/>
        <v>45056</v>
      </c>
      <c r="E160" s="37">
        <f t="shared" si="65"/>
        <v>45056</v>
      </c>
      <c r="F160" s="14" t="str">
        <f t="shared" si="66"/>
        <v>雨池　凌也</v>
      </c>
      <c r="H160" s="91"/>
      <c r="I160" s="91">
        <v>1</v>
      </c>
      <c r="J160" s="91"/>
      <c r="K160" s="91"/>
      <c r="L160" s="91"/>
      <c r="M160" s="91"/>
      <c r="N160" s="91"/>
      <c r="O160" s="106"/>
      <c r="P160" s="106"/>
      <c r="Q160" s="106"/>
      <c r="R160" s="106"/>
      <c r="S160" s="91"/>
      <c r="T160" s="91"/>
      <c r="U160" s="91"/>
      <c r="V160" s="91"/>
      <c r="W160" s="91"/>
      <c r="X160" s="106"/>
      <c r="Y160" s="91"/>
      <c r="Z160" s="91"/>
      <c r="AA160" s="91"/>
      <c r="AB160" s="91"/>
      <c r="AC160" s="91"/>
      <c r="AD160" s="91"/>
      <c r="AE160" s="91"/>
      <c r="AF160" s="91"/>
      <c r="AG160" s="91"/>
      <c r="AH160" s="91"/>
      <c r="AI160" s="91"/>
      <c r="AJ160" s="91"/>
      <c r="AK160" s="91"/>
      <c r="AL160" s="91"/>
      <c r="AM160" s="93"/>
      <c r="AN160" s="93"/>
      <c r="AR160" s="95" t="str">
        <f>IFERROR(HLOOKUP(D160,[41]らいふクリニック!$D$1:$AH$4,AR$3,FALSE),"")</f>
        <v/>
      </c>
      <c r="AS160" s="95" t="str">
        <f>IFERROR(HLOOKUP(E160,[41]らいふクリニック!$D$1:$AH$4,AS$3,FALSE),"")</f>
        <v/>
      </c>
      <c r="AT160" s="96" t="str">
        <f>IFERROR(HLOOKUP($D160,[41]勤務表!$D$1:$AH$10,AT$3,FALSE),"")</f>
        <v/>
      </c>
      <c r="AU160" s="96" t="str">
        <f>IFERROR(HLOOKUP($D160,[41]勤務表!$D$1:$AH$10,AU$3,FALSE),"")</f>
        <v/>
      </c>
      <c r="AV160" s="96" t="str">
        <f>IFERROR(HLOOKUP($D160,[41]勤務表!$D$1:$AH$10,AV$3,FALSE),"")</f>
        <v/>
      </c>
      <c r="AW160" s="96" t="str">
        <f>IFERROR(HLOOKUP($D160,[40]●!$D$1:$AH$10,AW$3,FALSE),"")</f>
        <v/>
      </c>
      <c r="AX160" s="96" t="str">
        <f>IFERROR(HLOOKUP($D160,[40]●!$D$1:$AH$10,AX$3,FALSE),"")</f>
        <v/>
      </c>
      <c r="AY160" s="96" t="str">
        <f>IFERROR(HLOOKUP($D160,[40]●!$D$1:$AH$10,AY$3,FALSE),"")</f>
        <v/>
      </c>
    </row>
    <row r="161" spans="1:51" ht="13.9" customHeight="1" x14ac:dyDescent="0.15">
      <c r="A161" s="10">
        <v>2023</v>
      </c>
      <c r="B161" s="10">
        <f t="shared" si="60"/>
        <v>5</v>
      </c>
      <c r="C161" s="67">
        <f t="shared" si="64"/>
        <v>45047</v>
      </c>
      <c r="D161" s="38">
        <f t="shared" si="62"/>
        <v>45062</v>
      </c>
      <c r="E161" s="37">
        <f t="shared" si="65"/>
        <v>45062</v>
      </c>
      <c r="F161" s="14" t="str">
        <f t="shared" si="66"/>
        <v>樫田　尚</v>
      </c>
      <c r="H161" s="91"/>
      <c r="I161" s="91"/>
      <c r="J161" s="91">
        <v>1</v>
      </c>
      <c r="K161" s="91"/>
      <c r="L161" s="91"/>
      <c r="M161" s="91"/>
      <c r="N161" s="91"/>
      <c r="O161" s="106"/>
      <c r="P161" s="106"/>
      <c r="Q161" s="106"/>
      <c r="R161" s="106"/>
      <c r="S161" s="91"/>
      <c r="T161" s="91"/>
      <c r="U161" s="91"/>
      <c r="V161" s="91"/>
      <c r="W161" s="91"/>
      <c r="X161" s="106"/>
      <c r="Y161" s="91"/>
      <c r="Z161" s="91"/>
      <c r="AA161" s="91"/>
      <c r="AB161" s="91"/>
      <c r="AC161" s="91"/>
      <c r="AD161" s="91"/>
      <c r="AE161" s="91"/>
      <c r="AF161" s="91"/>
      <c r="AG161" s="91"/>
      <c r="AH161" s="91"/>
      <c r="AI161" s="91"/>
      <c r="AJ161" s="91"/>
      <c r="AK161" s="91"/>
      <c r="AL161" s="91"/>
      <c r="AM161" s="93"/>
      <c r="AN161" s="93"/>
      <c r="AR161" s="95" t="str">
        <f>IFERROR(HLOOKUP(D161,[41]らいふクリニック!$D$1:$AH$4,AR$3,FALSE),"")</f>
        <v/>
      </c>
      <c r="AS161" s="95" t="str">
        <f>IFERROR(HLOOKUP(E161,[41]らいふクリニック!$D$1:$AH$4,AS$3,FALSE),"")</f>
        <v/>
      </c>
      <c r="AT161" s="96" t="str">
        <f>IFERROR(HLOOKUP($D161,[41]勤務表!$D$1:$AH$10,AT$3,FALSE),"")</f>
        <v/>
      </c>
      <c r="AU161" s="96" t="str">
        <f>IFERROR(HLOOKUP($D161,[41]勤務表!$D$1:$AH$10,AU$3,FALSE),"")</f>
        <v/>
      </c>
      <c r="AV161" s="96" t="str">
        <f>IFERROR(HLOOKUP($D161,[41]勤務表!$D$1:$AH$10,AV$3,FALSE),"")</f>
        <v/>
      </c>
      <c r="AW161" s="96" t="str">
        <f>IFERROR(HLOOKUP($D161,[40]●!$D$1:$AH$10,AW$3,FALSE),"")</f>
        <v/>
      </c>
      <c r="AX161" s="96" t="str">
        <f>IFERROR(HLOOKUP($D161,[40]●!$D$1:$AH$10,AX$3,FALSE),"")</f>
        <v/>
      </c>
      <c r="AY161" s="96" t="str">
        <f>IFERROR(HLOOKUP($D161,[40]●!$D$1:$AH$10,AY$3,FALSE),"")</f>
        <v/>
      </c>
    </row>
    <row r="162" spans="1:51" ht="13.9" customHeight="1" x14ac:dyDescent="0.15">
      <c r="A162" s="10">
        <v>2023</v>
      </c>
      <c r="B162" s="10">
        <f t="shared" si="60"/>
        <v>5</v>
      </c>
      <c r="C162" s="67">
        <f t="shared" si="64"/>
        <v>45047</v>
      </c>
      <c r="D162" s="36">
        <f t="shared" si="63"/>
        <v>45070</v>
      </c>
      <c r="E162" s="37">
        <f t="shared" si="65"/>
        <v>45070</v>
      </c>
      <c r="F162" s="14" t="str">
        <f t="shared" si="66"/>
        <v>田村 能之</v>
      </c>
      <c r="H162" s="91"/>
      <c r="I162" s="91"/>
      <c r="J162" s="91"/>
      <c r="K162" s="91"/>
      <c r="L162" s="91"/>
      <c r="M162" s="91"/>
      <c r="N162" s="91"/>
      <c r="O162" s="106"/>
      <c r="P162" s="106"/>
      <c r="Q162" s="106"/>
      <c r="R162" s="106"/>
      <c r="S162" s="91"/>
      <c r="T162" s="91"/>
      <c r="U162" s="91"/>
      <c r="V162" s="91"/>
      <c r="W162" s="91"/>
      <c r="X162" s="106"/>
      <c r="Y162" s="91"/>
      <c r="Z162" s="91"/>
      <c r="AA162" s="91">
        <v>1</v>
      </c>
      <c r="AB162" s="91"/>
      <c r="AC162" s="91"/>
      <c r="AD162" s="91"/>
      <c r="AE162" s="91"/>
      <c r="AF162" s="91"/>
      <c r="AG162" s="91"/>
      <c r="AH162" s="91"/>
      <c r="AI162" s="91"/>
      <c r="AJ162" s="91"/>
      <c r="AK162" s="91"/>
      <c r="AL162" s="91"/>
      <c r="AM162" s="93"/>
      <c r="AN162" s="93"/>
      <c r="AR162" s="95" t="str">
        <f>IFERROR(HLOOKUP(D162,[41]らいふクリニック!$D$1:$AH$4,AR$3,FALSE),"")</f>
        <v/>
      </c>
      <c r="AS162" s="95" t="str">
        <f>IFERROR(HLOOKUP(E162,[41]らいふクリニック!$D$1:$AH$4,AS$3,FALSE),"")</f>
        <v/>
      </c>
      <c r="AT162" s="96" t="str">
        <f>IFERROR(HLOOKUP($D162,[41]勤務表!$D$1:$AH$10,AT$3,FALSE),"")</f>
        <v/>
      </c>
      <c r="AU162" s="96" t="str">
        <f>IFERROR(HLOOKUP($D162,[41]勤務表!$D$1:$AH$10,AU$3,FALSE),"")</f>
        <v/>
      </c>
      <c r="AV162" s="96" t="str">
        <f>IFERROR(HLOOKUP($D162,[41]勤務表!$D$1:$AH$10,AV$3,FALSE),"")</f>
        <v/>
      </c>
      <c r="AW162" s="96" t="str">
        <f>IFERROR(HLOOKUP($D162,[40]●!$D$1:$AH$10,AW$3,FALSE),"")</f>
        <v/>
      </c>
      <c r="AX162" s="96" t="str">
        <f>IFERROR(HLOOKUP($D162,[40]●!$D$1:$AH$10,AX$3,FALSE),"")</f>
        <v/>
      </c>
      <c r="AY162" s="96" t="str">
        <f>IFERROR(HLOOKUP($D162,[40]●!$D$1:$AH$10,AY$3,FALSE),"")</f>
        <v/>
      </c>
    </row>
    <row r="163" spans="1:51" ht="13.9" customHeight="1" x14ac:dyDescent="0.15">
      <c r="A163" s="10">
        <v>2023</v>
      </c>
      <c r="B163" s="10">
        <f t="shared" si="60"/>
        <v>6</v>
      </c>
      <c r="C163" s="67">
        <f t="shared" si="64"/>
        <v>45078</v>
      </c>
      <c r="D163" s="36">
        <f t="shared" si="61"/>
        <v>45091</v>
      </c>
      <c r="E163" s="37">
        <f t="shared" si="65"/>
        <v>45091</v>
      </c>
      <c r="F163" s="14" t="str">
        <f t="shared" si="66"/>
        <v>別所　貴仁</v>
      </c>
      <c r="H163" s="91"/>
      <c r="I163" s="91"/>
      <c r="J163" s="91"/>
      <c r="K163" s="91"/>
      <c r="L163" s="91"/>
      <c r="M163" s="91"/>
      <c r="N163" s="91">
        <v>1</v>
      </c>
      <c r="O163" s="106"/>
      <c r="P163" s="106"/>
      <c r="Q163" s="106"/>
      <c r="R163" s="106"/>
      <c r="S163" s="91"/>
      <c r="T163" s="91"/>
      <c r="U163" s="91"/>
      <c r="V163" s="91"/>
      <c r="W163" s="91"/>
      <c r="X163" s="106"/>
      <c r="Y163" s="91"/>
      <c r="Z163" s="91"/>
      <c r="AA163" s="91"/>
      <c r="AB163" s="91"/>
      <c r="AC163" s="91"/>
      <c r="AD163" s="91"/>
      <c r="AE163" s="91"/>
      <c r="AF163" s="91"/>
      <c r="AG163" s="91"/>
      <c r="AH163" s="91"/>
      <c r="AI163" s="91"/>
      <c r="AJ163" s="91"/>
      <c r="AK163" s="91"/>
      <c r="AL163" s="91"/>
      <c r="AM163" s="93"/>
      <c r="AN163" s="93"/>
      <c r="AR163" s="95" t="str">
        <f>IFERROR(HLOOKUP(D163,[42]らいふクリニック!$D$1:$AH$4,AR$3,FALSE),"")</f>
        <v/>
      </c>
      <c r="AS163" s="95" t="str">
        <f>IFERROR(HLOOKUP(E163,[42]らいふクリニック!$D$1:$AH$4,AS$3,FALSE),"")</f>
        <v/>
      </c>
      <c r="AT163" s="96" t="str">
        <f>IFERROR(HLOOKUP($D163,[42]勤務表!$D$1:$AH$10,AT$3,FALSE),"")</f>
        <v/>
      </c>
      <c r="AU163" s="96" t="str">
        <f>IFERROR(HLOOKUP($D163,[42]勤務表!$D$1:$AH$10,AU$3,FALSE),"")</f>
        <v/>
      </c>
      <c r="AV163" s="96" t="str">
        <f>IFERROR(HLOOKUP($D163,[42]勤務表!$D$1:$AH$10,AV$3,FALSE),"")</f>
        <v/>
      </c>
      <c r="AW163" s="96" t="str">
        <f>IFERROR(HLOOKUP($D163,[42]勤務表!$D$1:$AH$10,AW$3,FALSE),"")</f>
        <v/>
      </c>
      <c r="AX163" s="96" t="str">
        <f>IFERROR(HLOOKUP($D163,[42]勤務表!$D$1:$AH$10,AX$3,FALSE),"")</f>
        <v/>
      </c>
      <c r="AY163" s="96" t="str">
        <f>IFERROR(HLOOKUP($D163,[42]勤務表!$D$1:$AH$10,AY$3,FALSE),"")</f>
        <v/>
      </c>
    </row>
    <row r="164" spans="1:51" ht="13.9" customHeight="1" x14ac:dyDescent="0.15">
      <c r="A164" s="10">
        <v>2023</v>
      </c>
      <c r="B164" s="10">
        <f t="shared" si="60"/>
        <v>6</v>
      </c>
      <c r="C164" s="67">
        <f t="shared" si="64"/>
        <v>45078</v>
      </c>
      <c r="D164" s="38">
        <f t="shared" si="62"/>
        <v>45097</v>
      </c>
      <c r="E164" s="37">
        <f t="shared" si="65"/>
        <v>45097</v>
      </c>
      <c r="F164" s="14" t="str">
        <f t="shared" si="66"/>
        <v>澤野 正樹</v>
      </c>
      <c r="H164" s="91"/>
      <c r="I164" s="91"/>
      <c r="J164" s="91"/>
      <c r="K164" s="91">
        <v>1</v>
      </c>
      <c r="L164" s="91"/>
      <c r="M164" s="91"/>
      <c r="N164" s="91"/>
      <c r="O164" s="106"/>
      <c r="P164" s="106"/>
      <c r="Q164" s="106"/>
      <c r="R164" s="106">
        <v>1</v>
      </c>
      <c r="S164" s="91"/>
      <c r="T164" s="91"/>
      <c r="U164" s="91"/>
      <c r="V164" s="91"/>
      <c r="W164" s="91"/>
      <c r="X164" s="106"/>
      <c r="Y164" s="91"/>
      <c r="Z164" s="91"/>
      <c r="AA164" s="91"/>
      <c r="AB164" s="91"/>
      <c r="AC164" s="91"/>
      <c r="AD164" s="91"/>
      <c r="AE164" s="91"/>
      <c r="AF164" s="91"/>
      <c r="AG164" s="91"/>
      <c r="AH164" s="91"/>
      <c r="AI164" s="91"/>
      <c r="AJ164" s="91"/>
      <c r="AK164" s="91"/>
      <c r="AL164" s="91"/>
      <c r="AM164" s="93"/>
      <c r="AN164" s="93"/>
      <c r="AR164" s="95" t="str">
        <f>IFERROR(HLOOKUP(D164,[42]らいふクリニック!$D$1:$AH$4,AR$3,FALSE),"")</f>
        <v/>
      </c>
      <c r="AS164" s="95" t="str">
        <f>IFERROR(HLOOKUP(E164,[42]らいふクリニック!$D$1:$AH$4,AS$3,FALSE),"")</f>
        <v/>
      </c>
      <c r="AT164" s="96" t="str">
        <f>IFERROR(HLOOKUP($D164,[42]勤務表!$D$1:$AH$10,AT$3,FALSE),"")</f>
        <v/>
      </c>
      <c r="AU164" s="96" t="str">
        <f>IFERROR(HLOOKUP($D164,[42]勤務表!$D$1:$AH$10,AU$3,FALSE),"")</f>
        <v/>
      </c>
      <c r="AV164" s="96" t="str">
        <f>IFERROR(HLOOKUP($D164,[42]勤務表!$D$1:$AH$10,AV$3,FALSE),"")</f>
        <v/>
      </c>
      <c r="AW164" s="96" t="str">
        <f>IFERROR(HLOOKUP($D164,[42]勤務表!$D$1:$AH$10,AW$3,FALSE),"")</f>
        <v/>
      </c>
      <c r="AX164" s="96" t="str">
        <f>IFERROR(HLOOKUP($D164,[42]勤務表!$D$1:$AH$10,AX$3,FALSE),"")</f>
        <v/>
      </c>
      <c r="AY164" s="96" t="str">
        <f>IFERROR(HLOOKUP($D164,[42]勤務表!$D$1:$AH$10,AY$3,FALSE),"")</f>
        <v/>
      </c>
    </row>
    <row r="165" spans="1:51" ht="13.9" customHeight="1" x14ac:dyDescent="0.15">
      <c r="A165" s="10">
        <v>2023</v>
      </c>
      <c r="B165" s="10">
        <f t="shared" si="60"/>
        <v>6</v>
      </c>
      <c r="C165" s="67">
        <f t="shared" si="64"/>
        <v>45078</v>
      </c>
      <c r="D165" s="36">
        <f t="shared" si="63"/>
        <v>45105</v>
      </c>
      <c r="E165" s="37">
        <f t="shared" si="65"/>
        <v>45105</v>
      </c>
      <c r="F165" s="14" t="str">
        <f t="shared" si="66"/>
        <v>山本 浩之</v>
      </c>
      <c r="H165" s="91"/>
      <c r="I165" s="91"/>
      <c r="J165" s="91"/>
      <c r="K165" s="91"/>
      <c r="L165" s="91"/>
      <c r="M165" s="91"/>
      <c r="N165" s="91"/>
      <c r="O165" s="106"/>
      <c r="P165" s="106">
        <v>1</v>
      </c>
      <c r="Q165" s="106"/>
      <c r="R165" s="106"/>
      <c r="S165" s="91"/>
      <c r="T165" s="91"/>
      <c r="U165" s="91"/>
      <c r="V165" s="91"/>
      <c r="W165" s="91"/>
      <c r="X165" s="106"/>
      <c r="Y165" s="91"/>
      <c r="Z165" s="91"/>
      <c r="AA165" s="91"/>
      <c r="AB165" s="91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93"/>
      <c r="AN165" s="93"/>
      <c r="AR165" s="95" t="str">
        <f>IFERROR(HLOOKUP(D165,[42]らいふクリニック!$D$1:$AH$4,AR$3,FALSE),"")</f>
        <v/>
      </c>
      <c r="AS165" s="95" t="str">
        <f>IFERROR(HLOOKUP(E165,[42]らいふクリニック!$D$1:$AH$4,AS$3,FALSE),"")</f>
        <v/>
      </c>
      <c r="AT165" s="96" t="str">
        <f>IFERROR(HLOOKUP($D165,[42]勤務表!$D$1:$AH$10,AT$3,FALSE),"")</f>
        <v/>
      </c>
      <c r="AU165" s="96" t="str">
        <f>IFERROR(HLOOKUP($D165,[42]勤務表!$D$1:$AH$10,AU$3,FALSE),"")</f>
        <v/>
      </c>
      <c r="AV165" s="96" t="str">
        <f>IFERROR(HLOOKUP($D165,[42]勤務表!$D$1:$AH$10,AV$3,FALSE),"")</f>
        <v/>
      </c>
      <c r="AW165" s="96" t="str">
        <f>IFERROR(HLOOKUP($D165,[42]勤務表!$D$1:$AH$10,AW$3,FALSE),"")</f>
        <v/>
      </c>
      <c r="AX165" s="96" t="str">
        <f>IFERROR(HLOOKUP($D165,[42]勤務表!$D$1:$AH$10,AX$3,FALSE),"")</f>
        <v/>
      </c>
      <c r="AY165" s="96" t="str">
        <f>IFERROR(HLOOKUP($D165,[42]勤務表!$D$1:$AH$10,AY$3,FALSE),"")</f>
        <v/>
      </c>
    </row>
    <row r="166" spans="1:51" ht="13.9" customHeight="1" x14ac:dyDescent="0.15">
      <c r="A166" s="10">
        <v>2023</v>
      </c>
      <c r="B166" s="10">
        <f t="shared" si="60"/>
        <v>7</v>
      </c>
      <c r="C166" s="67">
        <f t="shared" si="64"/>
        <v>45108</v>
      </c>
      <c r="D166" s="36">
        <f t="shared" si="61"/>
        <v>45119</v>
      </c>
      <c r="E166" s="37">
        <f t="shared" si="65"/>
        <v>45119</v>
      </c>
      <c r="F166" s="14" t="str">
        <f t="shared" si="66"/>
        <v>福知　千佳</v>
      </c>
      <c r="H166" s="91"/>
      <c r="I166" s="91"/>
      <c r="J166" s="91"/>
      <c r="K166" s="91"/>
      <c r="L166" s="91">
        <v>1</v>
      </c>
      <c r="M166" s="91"/>
      <c r="N166" s="91"/>
      <c r="O166" s="106"/>
      <c r="P166" s="106"/>
      <c r="Q166" s="106"/>
      <c r="R166" s="106"/>
      <c r="S166" s="91"/>
      <c r="T166" s="91"/>
      <c r="U166" s="91"/>
      <c r="V166" s="91"/>
      <c r="W166" s="91"/>
      <c r="X166" s="106"/>
      <c r="Y166" s="91"/>
      <c r="Z166" s="91"/>
      <c r="AA166" s="91"/>
      <c r="AB166" s="91"/>
      <c r="AC166" s="91"/>
      <c r="AD166" s="91"/>
      <c r="AE166" s="91"/>
      <c r="AF166" s="91"/>
      <c r="AG166" s="91"/>
      <c r="AH166" s="91"/>
      <c r="AI166" s="91"/>
      <c r="AJ166" s="91"/>
      <c r="AK166" s="91"/>
      <c r="AL166" s="91"/>
      <c r="AM166" s="93"/>
      <c r="AN166" s="93"/>
      <c r="AR166" s="95" t="str">
        <f>IFERROR(HLOOKUP(D166,[43]らいふクリニック!$D$1:$AH$4,AR$3,FALSE),"")</f>
        <v/>
      </c>
      <c r="AS166" s="95" t="str">
        <f>IFERROR(HLOOKUP(E166,[42]らいふクリニック!$D$1:$AH$4,AS$3,FALSE),"")</f>
        <v/>
      </c>
      <c r="AT166" s="96" t="str">
        <f>IFERROR(HLOOKUP($D166,[42]勤務表!$D$1:$AH$10,AT$3,FALSE),"")</f>
        <v/>
      </c>
      <c r="AU166" s="96" t="str">
        <f>IFERROR(HLOOKUP($D166,[42]勤務表!$D$1:$AH$10,AU$3,FALSE),"")</f>
        <v/>
      </c>
      <c r="AV166" s="96" t="str">
        <f>IFERROR(HLOOKUP($D166,[42]勤務表!$D$1:$AH$10,AV$3,FALSE),"")</f>
        <v/>
      </c>
      <c r="AW166" s="96" t="str">
        <f>IFERROR(HLOOKUP($D166,[42]勤務表!$D$1:$AH$10,AW$3,FALSE),"")</f>
        <v/>
      </c>
      <c r="AX166" s="96" t="str">
        <f>IFERROR(HLOOKUP($D166,[42]勤務表!$D$1:$AH$10,AX$3,FALSE),"")</f>
        <v/>
      </c>
      <c r="AY166" s="96" t="str">
        <f>IFERROR(HLOOKUP($D166,[42]勤務表!$D$1:$AH$10,AY$3,FALSE),"")</f>
        <v/>
      </c>
    </row>
    <row r="167" spans="1:51" ht="13.9" customHeight="1" x14ac:dyDescent="0.15">
      <c r="A167" s="10">
        <v>2023</v>
      </c>
      <c r="B167" s="10">
        <f t="shared" si="60"/>
        <v>7</v>
      </c>
      <c r="C167" s="67">
        <f t="shared" si="64"/>
        <v>45108</v>
      </c>
      <c r="D167" s="38">
        <f t="shared" si="62"/>
        <v>45125</v>
      </c>
      <c r="E167" s="37">
        <f t="shared" si="65"/>
        <v>45125</v>
      </c>
      <c r="F167" s="14" t="str">
        <f t="shared" si="66"/>
        <v>南 博之</v>
      </c>
      <c r="H167" s="91"/>
      <c r="I167" s="91"/>
      <c r="J167" s="91"/>
      <c r="K167" s="91"/>
      <c r="L167" s="91"/>
      <c r="M167" s="91"/>
      <c r="N167" s="91"/>
      <c r="O167" s="106"/>
      <c r="P167" s="106"/>
      <c r="Q167" s="106">
        <v>1</v>
      </c>
      <c r="R167" s="106"/>
      <c r="S167" s="91"/>
      <c r="T167" s="91"/>
      <c r="U167" s="91"/>
      <c r="V167" s="91"/>
      <c r="W167" s="91"/>
      <c r="X167" s="106"/>
      <c r="Y167" s="91"/>
      <c r="Z167" s="91"/>
      <c r="AA167" s="91"/>
      <c r="AB167" s="91"/>
      <c r="AC167" s="91"/>
      <c r="AD167" s="91"/>
      <c r="AE167" s="91"/>
      <c r="AF167" s="91"/>
      <c r="AG167" s="91"/>
      <c r="AH167" s="91"/>
      <c r="AI167" s="91"/>
      <c r="AJ167" s="91"/>
      <c r="AK167" s="91"/>
      <c r="AL167" s="91"/>
      <c r="AM167" s="93"/>
      <c r="AN167" s="93"/>
      <c r="AR167" s="95" t="str">
        <f>IFERROR(HLOOKUP(D167,[42]らいふクリニック!$D$1:$AH$4,AR$3,FALSE),"")</f>
        <v/>
      </c>
      <c r="AS167" s="95" t="str">
        <f>IFERROR(HLOOKUP(E167,[42]らいふクリニック!$D$1:$AH$4,AS$3,FALSE),"")</f>
        <v/>
      </c>
      <c r="AT167" s="96" t="str">
        <f>IFERROR(HLOOKUP($D167,[42]勤務表!$D$1:$AH$10,AT$3,FALSE),"")</f>
        <v/>
      </c>
      <c r="AU167" s="96" t="str">
        <f>IFERROR(HLOOKUP($D167,[42]勤務表!$D$1:$AH$10,AU$3,FALSE),"")</f>
        <v/>
      </c>
      <c r="AV167" s="96" t="str">
        <f>IFERROR(HLOOKUP($D167,[42]勤務表!$D$1:$AH$10,AV$3,FALSE),"")</f>
        <v/>
      </c>
      <c r="AW167" s="96" t="str">
        <f>IFERROR(HLOOKUP($D167,[42]勤務表!$D$1:$AH$10,AW$3,FALSE),"")</f>
        <v/>
      </c>
      <c r="AX167" s="96" t="str">
        <f>IFERROR(HLOOKUP($D167,[42]勤務表!$D$1:$AH$10,AX$3,FALSE),"")</f>
        <v/>
      </c>
      <c r="AY167" s="96" t="str">
        <f>IFERROR(HLOOKUP($D167,[42]勤務表!$D$1:$AH$10,AY$3,FALSE),"")</f>
        <v/>
      </c>
    </row>
    <row r="168" spans="1:51" ht="13.9" customHeight="1" x14ac:dyDescent="0.15">
      <c r="A168" s="10">
        <v>2023</v>
      </c>
      <c r="B168" s="10">
        <f t="shared" si="60"/>
        <v>7</v>
      </c>
      <c r="C168" s="67">
        <f t="shared" si="64"/>
        <v>45108</v>
      </c>
      <c r="D168" s="36">
        <f t="shared" si="63"/>
        <v>45133</v>
      </c>
      <c r="E168" s="37">
        <f t="shared" si="65"/>
        <v>45133</v>
      </c>
      <c r="F168" s="14" t="str">
        <f t="shared" si="66"/>
        <v>諸田　悠也</v>
      </c>
      <c r="H168" s="91"/>
      <c r="I168" s="91"/>
      <c r="J168" s="91"/>
      <c r="K168" s="91"/>
      <c r="L168" s="91"/>
      <c r="M168" s="91"/>
      <c r="N168" s="91"/>
      <c r="O168" s="106"/>
      <c r="P168" s="106"/>
      <c r="Q168" s="106"/>
      <c r="R168" s="106"/>
      <c r="S168" s="91"/>
      <c r="T168" s="91"/>
      <c r="U168" s="91"/>
      <c r="V168" s="91"/>
      <c r="W168" s="91"/>
      <c r="X168" s="106"/>
      <c r="Y168" s="91"/>
      <c r="Z168" s="91"/>
      <c r="AA168" s="91"/>
      <c r="AB168" s="91"/>
      <c r="AC168" s="91"/>
      <c r="AD168" s="91"/>
      <c r="AE168" s="91"/>
      <c r="AF168" s="91"/>
      <c r="AG168" s="91"/>
      <c r="AH168" s="91"/>
      <c r="AI168" s="91"/>
      <c r="AJ168" s="91"/>
      <c r="AK168" s="91">
        <v>1</v>
      </c>
      <c r="AL168" s="91"/>
      <c r="AM168" s="93"/>
      <c r="AN168" s="93"/>
      <c r="AR168" s="95" t="str">
        <f>IFERROR(HLOOKUP(D168,[42]らいふクリニック!$D$1:$AH$4,AR$3,FALSE),"")</f>
        <v/>
      </c>
      <c r="AS168" s="95" t="str">
        <f>IFERROR(HLOOKUP(E168,[42]らいふクリニック!$D$1:$AH$4,AS$3,FALSE),"")</f>
        <v/>
      </c>
      <c r="AT168" s="96" t="str">
        <f>IFERROR(HLOOKUP($D168,[42]勤務表!$D$1:$AH$10,AT$3,FALSE),"")</f>
        <v/>
      </c>
      <c r="AU168" s="96" t="str">
        <f>IFERROR(HLOOKUP($D168,[42]勤務表!$D$1:$AH$10,AU$3,FALSE),"")</f>
        <v/>
      </c>
      <c r="AV168" s="96" t="str">
        <f>IFERROR(HLOOKUP($D168,[42]勤務表!$D$1:$AH$10,AV$3,FALSE),"")</f>
        <v/>
      </c>
      <c r="AW168" s="96" t="str">
        <f>IFERROR(HLOOKUP($D168,[42]勤務表!$D$1:$AH$10,AW$3,FALSE),"")</f>
        <v/>
      </c>
      <c r="AX168" s="96" t="str">
        <f>IFERROR(HLOOKUP($D168,[42]勤務表!$D$1:$AH$10,AX$3,FALSE),"")</f>
        <v/>
      </c>
      <c r="AY168" s="96" t="str">
        <f>IFERROR(HLOOKUP($D168,[42]勤務表!$D$1:$AH$10,AY$3,FALSE),"")</f>
        <v/>
      </c>
    </row>
    <row r="169" spans="1:51" ht="13.9" customHeight="1" x14ac:dyDescent="0.15">
      <c r="A169" s="10">
        <v>2023</v>
      </c>
      <c r="B169" s="10">
        <f t="shared" si="60"/>
        <v>8</v>
      </c>
      <c r="C169" s="67">
        <f t="shared" si="64"/>
        <v>45139</v>
      </c>
      <c r="D169" s="36">
        <f t="shared" si="61"/>
        <v>45147</v>
      </c>
      <c r="E169" s="37">
        <f t="shared" si="65"/>
        <v>45147</v>
      </c>
      <c r="F169" s="14" t="str">
        <f t="shared" si="66"/>
        <v>西明 千織</v>
      </c>
      <c r="H169" s="91">
        <v>1</v>
      </c>
      <c r="I169" s="91"/>
      <c r="J169" s="91"/>
      <c r="K169" s="91"/>
      <c r="L169" s="91"/>
      <c r="M169" s="91"/>
      <c r="N169" s="91"/>
      <c r="O169" s="106"/>
      <c r="P169" s="106"/>
      <c r="Q169" s="106"/>
      <c r="R169" s="106"/>
      <c r="S169" s="91"/>
      <c r="T169" s="91"/>
      <c r="U169" s="91"/>
      <c r="V169" s="91"/>
      <c r="W169" s="91"/>
      <c r="X169" s="106"/>
      <c r="Y169" s="91"/>
      <c r="Z169" s="91"/>
      <c r="AA169" s="91"/>
      <c r="AB169" s="91"/>
      <c r="AC169" s="91"/>
      <c r="AD169" s="91"/>
      <c r="AE169" s="91"/>
      <c r="AF169" s="91"/>
      <c r="AG169" s="91"/>
      <c r="AH169" s="91"/>
      <c r="AI169" s="91"/>
      <c r="AJ169" s="91"/>
      <c r="AK169" s="91"/>
      <c r="AL169" s="91"/>
      <c r="AM169" s="93"/>
      <c r="AN169" s="93"/>
      <c r="AR169" s="95" t="s">
        <v>68</v>
      </c>
      <c r="AS169" s="95" t="s">
        <v>69</v>
      </c>
      <c r="AT169" s="96" t="str">
        <f>IFERROR(HLOOKUP($D169,[42]勤務表!$D$1:$AH$10,AT$3,FALSE),"")</f>
        <v/>
      </c>
      <c r="AU169" s="96" t="str">
        <f>IFERROR(HLOOKUP($D169,[42]勤務表!$D$1:$AH$10,AU$3,FALSE),"")</f>
        <v/>
      </c>
      <c r="AV169" s="96" t="str">
        <f>IFERROR(HLOOKUP($D169,[42]勤務表!$D$1:$AH$10,AV$3,FALSE),"")</f>
        <v/>
      </c>
      <c r="AW169" s="96" t="str">
        <f>IFERROR(HLOOKUP($D169,[42]勤務表!$D$1:$AH$10,AW$3,FALSE),"")</f>
        <v/>
      </c>
      <c r="AX169" s="96" t="str">
        <f>IFERROR(HLOOKUP($D169,[42]勤務表!$D$1:$AH$10,AX$3,FALSE),"")</f>
        <v/>
      </c>
      <c r="AY169" s="96" t="str">
        <f>IFERROR(HLOOKUP($D169,[42]勤務表!$D$1:$AH$10,AY$3,FALSE),"")</f>
        <v/>
      </c>
    </row>
    <row r="170" spans="1:51" ht="13.9" customHeight="1" x14ac:dyDescent="0.15">
      <c r="A170" s="10">
        <v>2023</v>
      </c>
      <c r="B170" s="10">
        <f t="shared" si="60"/>
        <v>8</v>
      </c>
      <c r="C170" s="67">
        <f t="shared" si="64"/>
        <v>45139</v>
      </c>
      <c r="D170" s="38">
        <f t="shared" si="62"/>
        <v>45153</v>
      </c>
      <c r="E170" s="37">
        <f t="shared" si="65"/>
        <v>45153</v>
      </c>
      <c r="F170" s="14" t="str">
        <f t="shared" si="66"/>
        <v>薬司 康平</v>
      </c>
      <c r="H170" s="91"/>
      <c r="I170" s="91"/>
      <c r="J170" s="91"/>
      <c r="K170" s="91"/>
      <c r="L170" s="91"/>
      <c r="M170" s="91"/>
      <c r="N170" s="91"/>
      <c r="O170" s="106"/>
      <c r="P170" s="106"/>
      <c r="Q170" s="106"/>
      <c r="R170" s="106"/>
      <c r="S170" s="91"/>
      <c r="T170" s="91"/>
      <c r="U170" s="91"/>
      <c r="V170" s="91"/>
      <c r="W170" s="91"/>
      <c r="X170" s="106"/>
      <c r="Y170" s="91"/>
      <c r="Z170" s="91"/>
      <c r="AA170" s="91"/>
      <c r="AB170" s="91"/>
      <c r="AC170" s="91"/>
      <c r="AD170" s="91"/>
      <c r="AE170" s="91"/>
      <c r="AF170" s="91"/>
      <c r="AG170" s="91">
        <v>1</v>
      </c>
      <c r="AH170" s="91"/>
      <c r="AI170" s="91"/>
      <c r="AJ170" s="91"/>
      <c r="AK170" s="91"/>
      <c r="AL170" s="91"/>
      <c r="AM170" s="93"/>
      <c r="AN170" s="93"/>
      <c r="AR170" s="95" t="s">
        <v>70</v>
      </c>
      <c r="AS170" s="95" t="s">
        <v>71</v>
      </c>
      <c r="AT170" s="96" t="str">
        <f>IFERROR(HLOOKUP($D170,[42]勤務表!$D$1:$AH$10,AT$3,FALSE),"")</f>
        <v/>
      </c>
      <c r="AU170" s="96" t="str">
        <f>IFERROR(HLOOKUP($D170,[42]勤務表!$D$1:$AH$10,AU$3,FALSE),"")</f>
        <v/>
      </c>
      <c r="AV170" s="96" t="str">
        <f>IFERROR(HLOOKUP($D170,[42]勤務表!$D$1:$AH$10,AV$3,FALSE),"")</f>
        <v/>
      </c>
      <c r="AW170" s="96" t="str">
        <f>IFERROR(HLOOKUP($D170,[42]勤務表!$D$1:$AH$10,AW$3,FALSE),"")</f>
        <v/>
      </c>
      <c r="AX170" s="96" t="str">
        <f>IFERROR(HLOOKUP($D170,[42]勤務表!$D$1:$AH$10,AX$3,FALSE),"")</f>
        <v/>
      </c>
      <c r="AY170" s="96" t="str">
        <f>IFERROR(HLOOKUP($D170,[42]勤務表!$D$1:$AH$10,AY$3,FALSE),"")</f>
        <v/>
      </c>
    </row>
    <row r="171" spans="1:51" ht="13.9" customHeight="1" x14ac:dyDescent="0.15">
      <c r="A171" s="10">
        <v>2023</v>
      </c>
      <c r="B171" s="10">
        <f t="shared" si="60"/>
        <v>8</v>
      </c>
      <c r="C171" s="67">
        <f t="shared" si="64"/>
        <v>45139</v>
      </c>
      <c r="D171" s="36">
        <f t="shared" si="63"/>
        <v>45161</v>
      </c>
      <c r="E171" s="37">
        <f t="shared" si="65"/>
        <v>45161</v>
      </c>
      <c r="F171" s="14" t="str">
        <f t="shared" si="66"/>
        <v>西郡　健太</v>
      </c>
      <c r="H171" s="91"/>
      <c r="I171" s="91"/>
      <c r="J171" s="91"/>
      <c r="K171" s="91"/>
      <c r="L171" s="91"/>
      <c r="M171" s="91"/>
      <c r="N171" s="91"/>
      <c r="O171" s="106"/>
      <c r="P171" s="106"/>
      <c r="Q171" s="106"/>
      <c r="R171" s="106"/>
      <c r="S171" s="91"/>
      <c r="T171" s="91"/>
      <c r="U171" s="91"/>
      <c r="V171" s="91"/>
      <c r="W171" s="91"/>
      <c r="X171" s="106"/>
      <c r="Y171" s="91"/>
      <c r="Z171" s="91"/>
      <c r="AA171" s="91"/>
      <c r="AB171" s="91"/>
      <c r="AC171" s="91"/>
      <c r="AD171" s="91"/>
      <c r="AE171" s="91"/>
      <c r="AF171" s="91"/>
      <c r="AG171" s="91"/>
      <c r="AH171" s="91"/>
      <c r="AI171" s="91">
        <v>1</v>
      </c>
      <c r="AJ171" s="91"/>
      <c r="AK171" s="91"/>
      <c r="AL171" s="91"/>
      <c r="AM171" s="93"/>
      <c r="AN171" s="93"/>
      <c r="AR171" s="95" t="s">
        <v>72</v>
      </c>
      <c r="AS171" s="95" t="s">
        <v>73</v>
      </c>
      <c r="AT171" s="96" t="str">
        <f>IFERROR(HLOOKUP($D171,[42]勤務表!$D$1:$AH$10,AT$3,FALSE),"")</f>
        <v/>
      </c>
      <c r="AU171" s="96" t="str">
        <f>IFERROR(HLOOKUP($D171,[42]勤務表!$D$1:$AH$10,AU$3,FALSE),"")</f>
        <v/>
      </c>
      <c r="AV171" s="96" t="str">
        <f>IFERROR(HLOOKUP($D171,[42]勤務表!$D$1:$AH$10,AV$3,FALSE),"")</f>
        <v/>
      </c>
      <c r="AW171" s="96" t="str">
        <f>IFERROR(HLOOKUP($D171,[42]勤務表!$D$1:$AH$10,AW$3,FALSE),"")</f>
        <v/>
      </c>
      <c r="AX171" s="96" t="str">
        <f>IFERROR(HLOOKUP($D171,[42]勤務表!$D$1:$AH$10,AX$3,FALSE),"")</f>
        <v/>
      </c>
      <c r="AY171" s="96" t="str">
        <f>IFERROR(HLOOKUP($D171,[42]勤務表!$D$1:$AH$10,AY$3,FALSE),"")</f>
        <v/>
      </c>
    </row>
    <row r="172" spans="1:51" ht="13.9" customHeight="1" x14ac:dyDescent="0.15">
      <c r="A172" s="10">
        <v>2023</v>
      </c>
      <c r="B172" s="10">
        <f t="shared" si="60"/>
        <v>9</v>
      </c>
      <c r="C172" s="67">
        <f t="shared" si="64"/>
        <v>45170</v>
      </c>
      <c r="D172" s="36">
        <f t="shared" si="61"/>
        <v>45182</v>
      </c>
      <c r="E172" s="37">
        <f t="shared" si="65"/>
        <v>45182</v>
      </c>
      <c r="F172" s="14" t="str">
        <f t="shared" si="66"/>
        <v>澤野 正樹</v>
      </c>
      <c r="H172" s="91"/>
      <c r="I172" s="91"/>
      <c r="J172" s="91"/>
      <c r="K172" s="91"/>
      <c r="L172" s="91"/>
      <c r="M172" s="91"/>
      <c r="N172" s="91"/>
      <c r="O172" s="106"/>
      <c r="P172" s="106"/>
      <c r="Q172" s="106"/>
      <c r="R172" s="106">
        <v>1</v>
      </c>
      <c r="S172" s="91"/>
      <c r="T172" s="91"/>
      <c r="U172" s="91"/>
      <c r="V172" s="91"/>
      <c r="W172" s="91"/>
      <c r="X172" s="106"/>
      <c r="Y172" s="91"/>
      <c r="Z172" s="91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1"/>
      <c r="AL172" s="91"/>
      <c r="AM172" s="93"/>
      <c r="AN172" s="93"/>
      <c r="AR172" s="95" t="str">
        <f>IFERROR(HLOOKUP(D172,[42]らいふクリニック!$D$1:$AH$4,AR$3,FALSE),"")</f>
        <v/>
      </c>
      <c r="AS172" s="95" t="str">
        <f>IFERROR(HLOOKUP(E172,[42]らいふクリニック!$D$1:$AH$4,AS$3,FALSE),"")</f>
        <v/>
      </c>
      <c r="AT172" s="96" t="str">
        <f>IFERROR(HLOOKUP($D172,[42]勤務表!$D$1:$AH$10,AT$3,FALSE),"")</f>
        <v/>
      </c>
      <c r="AU172" s="96" t="str">
        <f>IFERROR(HLOOKUP($D172,[42]勤務表!$D$1:$AH$10,AU$3,FALSE),"")</f>
        <v/>
      </c>
      <c r="AV172" s="96" t="str">
        <f>IFERROR(HLOOKUP($D172,[42]勤務表!$D$1:$AH$10,AV$3,FALSE),"")</f>
        <v/>
      </c>
      <c r="AW172" s="96" t="str">
        <f>IFERROR(HLOOKUP($D172,[42]勤務表!$D$1:$AH$10,AW$3,FALSE),"")</f>
        <v/>
      </c>
      <c r="AX172" s="96" t="str">
        <f>IFERROR(HLOOKUP($D172,[42]勤務表!$D$1:$AH$10,AX$3,FALSE),"")</f>
        <v/>
      </c>
      <c r="AY172" s="96" t="str">
        <f>IFERROR(HLOOKUP($D172,[42]勤務表!$D$1:$AH$10,AY$3,FALSE),"")</f>
        <v/>
      </c>
    </row>
    <row r="173" spans="1:51" ht="13.9" customHeight="1" x14ac:dyDescent="0.15">
      <c r="A173" s="10">
        <v>2023</v>
      </c>
      <c r="B173" s="10">
        <f t="shared" si="60"/>
        <v>9</v>
      </c>
      <c r="C173" s="67">
        <f t="shared" si="64"/>
        <v>45170</v>
      </c>
      <c r="D173" s="38">
        <f t="shared" si="62"/>
        <v>45188</v>
      </c>
      <c r="E173" s="37">
        <f t="shared" si="65"/>
        <v>45188</v>
      </c>
      <c r="F173" s="14" t="str">
        <f t="shared" si="66"/>
        <v>袋　隼哉</v>
      </c>
      <c r="H173" s="91"/>
      <c r="I173" s="91"/>
      <c r="J173" s="91"/>
      <c r="K173" s="91"/>
      <c r="L173" s="91"/>
      <c r="M173" s="91"/>
      <c r="N173" s="91"/>
      <c r="O173" s="106"/>
      <c r="P173" s="106"/>
      <c r="Q173" s="106"/>
      <c r="R173" s="106"/>
      <c r="S173" s="91"/>
      <c r="T173" s="91">
        <v>1</v>
      </c>
      <c r="U173" s="91"/>
      <c r="V173" s="91"/>
      <c r="W173" s="91"/>
      <c r="X173" s="106"/>
      <c r="Y173" s="91"/>
      <c r="Z173" s="91"/>
      <c r="AA173" s="91"/>
      <c r="AB173" s="91"/>
      <c r="AC173" s="91"/>
      <c r="AD173" s="91"/>
      <c r="AE173" s="91"/>
      <c r="AF173" s="91"/>
      <c r="AG173" s="91"/>
      <c r="AH173" s="91"/>
      <c r="AI173" s="91"/>
      <c r="AJ173" s="91"/>
      <c r="AK173" s="91"/>
      <c r="AL173" s="91"/>
      <c r="AM173" s="93"/>
      <c r="AN173" s="93"/>
      <c r="AR173" s="95" t="str">
        <f>IFERROR(HLOOKUP(D173,[42]らいふクリニック!$D$1:$AH$4,AR$3,FALSE),"")</f>
        <v/>
      </c>
      <c r="AS173" s="97"/>
      <c r="AT173" s="96" t="str">
        <f>IFERROR(HLOOKUP($D173,[42]勤務表!$D$1:$AH$10,AT$3,FALSE),"")</f>
        <v/>
      </c>
      <c r="AU173" s="96" t="str">
        <f>IFERROR(HLOOKUP($D173,[42]勤務表!$D$1:$AH$10,AU$3,FALSE),"")</f>
        <v/>
      </c>
      <c r="AV173" s="96" t="str">
        <f>IFERROR(HLOOKUP($D173,[42]勤務表!$D$1:$AH$10,AV$3,FALSE),"")</f>
        <v/>
      </c>
      <c r="AW173" s="96" t="str">
        <f>IFERROR(HLOOKUP($D173,[42]勤務表!$D$1:$AH$10,AW$3,FALSE),"")</f>
        <v/>
      </c>
      <c r="AX173" s="96" t="str">
        <f>IFERROR(HLOOKUP($D173,[42]勤務表!$D$1:$AH$10,AX$3,FALSE),"")</f>
        <v/>
      </c>
      <c r="AY173" s="96" t="str">
        <f>IFERROR(HLOOKUP($D173,[42]勤務表!$D$1:$AH$10,AY$3,FALSE),"")</f>
        <v/>
      </c>
    </row>
    <row r="174" spans="1:51" ht="13.9" customHeight="1" x14ac:dyDescent="0.15">
      <c r="A174" s="10">
        <v>2023</v>
      </c>
      <c r="B174" s="10">
        <f t="shared" si="60"/>
        <v>9</v>
      </c>
      <c r="C174" s="67">
        <f t="shared" si="64"/>
        <v>45170</v>
      </c>
      <c r="D174" s="36">
        <f t="shared" si="63"/>
        <v>45196</v>
      </c>
      <c r="E174" s="37">
        <f t="shared" si="65"/>
        <v>45196</v>
      </c>
      <c r="F174" s="14" t="str">
        <f t="shared" si="66"/>
        <v>小川 穂波</v>
      </c>
      <c r="H174" s="91"/>
      <c r="I174" s="91"/>
      <c r="J174" s="91"/>
      <c r="K174" s="91"/>
      <c r="L174" s="91"/>
      <c r="M174" s="91"/>
      <c r="N174" s="91"/>
      <c r="O174" s="106"/>
      <c r="P174" s="106"/>
      <c r="Q174" s="106"/>
      <c r="R174" s="106"/>
      <c r="S174" s="91"/>
      <c r="T174" s="91"/>
      <c r="U174" s="91"/>
      <c r="V174" s="91"/>
      <c r="W174" s="91"/>
      <c r="X174" s="106"/>
      <c r="Y174" s="91"/>
      <c r="Z174" s="91"/>
      <c r="AA174" s="91"/>
      <c r="AB174" s="91"/>
      <c r="AC174" s="91"/>
      <c r="AD174" s="91"/>
      <c r="AE174" s="91"/>
      <c r="AF174" s="91"/>
      <c r="AG174" s="91"/>
      <c r="AH174" s="91">
        <v>1</v>
      </c>
      <c r="AI174" s="91"/>
      <c r="AJ174" s="91"/>
      <c r="AK174" s="91"/>
      <c r="AL174" s="91"/>
      <c r="AM174" s="93"/>
      <c r="AN174" s="93"/>
      <c r="AR174" s="95" t="str">
        <f>IFERROR(HLOOKUP(D174,[42]らいふクリニック!$D$1:$AH$4,AR$3,FALSE),"")</f>
        <v/>
      </c>
      <c r="AS174" s="97"/>
      <c r="AT174" s="96" t="str">
        <f>IFERROR(HLOOKUP($D174,[42]勤務表!$D$1:$AH$10,AT$3,FALSE),"")</f>
        <v/>
      </c>
      <c r="AU174" s="96" t="str">
        <f>IFERROR(HLOOKUP($D174,[42]勤務表!$D$1:$AH$10,AU$3,FALSE),"")</f>
        <v/>
      </c>
      <c r="AV174" s="96" t="str">
        <f>IFERROR(HLOOKUP($D174,[42]勤務表!$D$1:$AH$10,AV$3,FALSE),"")</f>
        <v/>
      </c>
      <c r="AW174" s="96" t="str">
        <f>IFERROR(HLOOKUP($D174,[42]勤務表!$D$1:$AH$10,AW$3,FALSE),"")</f>
        <v/>
      </c>
      <c r="AX174" s="96" t="str">
        <f>IFERROR(HLOOKUP($D174,[42]勤務表!$D$1:$AH$10,AX$3,FALSE),"")</f>
        <v/>
      </c>
      <c r="AY174" s="96" t="str">
        <f>IFERROR(HLOOKUP($D174,[42]勤務表!$D$1:$AH$10,AY$3,FALSE),"")</f>
        <v/>
      </c>
    </row>
    <row r="175" spans="1:51" ht="13.9" customHeight="1" x14ac:dyDescent="0.15">
      <c r="A175" s="10">
        <v>2023</v>
      </c>
      <c r="B175" s="10">
        <f t="shared" si="60"/>
        <v>10</v>
      </c>
      <c r="C175" s="67">
        <f t="shared" si="64"/>
        <v>45200</v>
      </c>
      <c r="D175" s="36">
        <f t="shared" si="61"/>
        <v>45210</v>
      </c>
      <c r="E175" s="37">
        <f t="shared" si="65"/>
        <v>45210</v>
      </c>
      <c r="F175" s="14" t="str">
        <f t="shared" si="66"/>
        <v>大橋 効</v>
      </c>
      <c r="H175" s="91"/>
      <c r="I175" s="91"/>
      <c r="J175" s="91"/>
      <c r="K175" s="91"/>
      <c r="L175" s="91"/>
      <c r="M175" s="91"/>
      <c r="N175" s="91"/>
      <c r="O175" s="106">
        <v>1</v>
      </c>
      <c r="P175" s="106"/>
      <c r="Q175" s="106"/>
      <c r="R175" s="106"/>
      <c r="S175" s="91"/>
      <c r="T175" s="91"/>
      <c r="U175" s="91"/>
      <c r="V175" s="91"/>
      <c r="W175" s="91"/>
      <c r="X175" s="106"/>
      <c r="Y175" s="91"/>
      <c r="Z175" s="91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91"/>
      <c r="AL175" s="91"/>
      <c r="AM175" s="93"/>
      <c r="AN175" s="93"/>
      <c r="AR175" s="95" t="str">
        <f>IFERROR(HLOOKUP(D175,[42]らいふクリニック!$D$1:$AH$4,AR$3,FALSE),"")</f>
        <v/>
      </c>
      <c r="AS175" s="97"/>
      <c r="AT175" s="96" t="str">
        <f>IFERROR(HLOOKUP($D175,[42]勤務表!$D$1:$AH$10,AT$3,FALSE),"")</f>
        <v/>
      </c>
      <c r="AU175" s="96" t="str">
        <f>IFERROR(HLOOKUP($D175,[42]勤務表!$D$1:$AH$10,AU$3,FALSE),"")</f>
        <v/>
      </c>
      <c r="AV175" s="96" t="str">
        <f>IFERROR(HLOOKUP($D175,[42]勤務表!$D$1:$AH$10,AV$3,FALSE),"")</f>
        <v/>
      </c>
      <c r="AW175" s="96" t="str">
        <f>IFERROR(HLOOKUP($D175,[42]勤務表!$D$1:$AH$10,AW$3,FALSE),"")</f>
        <v/>
      </c>
      <c r="AX175" s="96" t="str">
        <f>IFERROR(HLOOKUP($D175,[42]勤務表!$D$1:$AH$10,AX$3,FALSE),"")</f>
        <v/>
      </c>
      <c r="AY175" s="96" t="str">
        <f>IFERROR(HLOOKUP($D175,[42]勤務表!$D$1:$AH$10,AY$3,FALSE),"")</f>
        <v/>
      </c>
    </row>
    <row r="176" spans="1:51" ht="13.9" customHeight="1" x14ac:dyDescent="0.15">
      <c r="A176" s="10">
        <v>2023</v>
      </c>
      <c r="B176" s="10">
        <f t="shared" si="60"/>
        <v>10</v>
      </c>
      <c r="C176" s="67">
        <f t="shared" si="64"/>
        <v>45200</v>
      </c>
      <c r="D176" s="38">
        <f t="shared" si="62"/>
        <v>45216</v>
      </c>
      <c r="E176" s="37">
        <f t="shared" si="65"/>
        <v>45216</v>
      </c>
      <c r="F176" s="14" t="str">
        <f t="shared" si="66"/>
        <v>平田 恵哉</v>
      </c>
      <c r="H176" s="91"/>
      <c r="I176" s="91"/>
      <c r="J176" s="91"/>
      <c r="K176" s="91"/>
      <c r="L176" s="91"/>
      <c r="M176" s="91"/>
      <c r="N176" s="91"/>
      <c r="O176" s="106"/>
      <c r="P176" s="106"/>
      <c r="Q176" s="106"/>
      <c r="R176" s="106"/>
      <c r="S176" s="91"/>
      <c r="T176" s="91"/>
      <c r="U176" s="91">
        <v>1</v>
      </c>
      <c r="V176" s="91"/>
      <c r="W176" s="91"/>
      <c r="X176" s="106"/>
      <c r="Y176" s="91"/>
      <c r="Z176" s="91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91"/>
      <c r="AL176" s="91"/>
      <c r="AM176" s="93"/>
      <c r="AN176" s="93"/>
      <c r="AR176" s="95" t="str">
        <f>IFERROR(HLOOKUP(D176,[42]らいふクリニック!$D$1:$AH$4,AR$3,FALSE),"")</f>
        <v/>
      </c>
      <c r="AS176" s="97"/>
      <c r="AT176" s="96" t="str">
        <f>IFERROR(HLOOKUP($D176,[42]勤務表!$D$1:$AH$10,AT$3,FALSE),"")</f>
        <v/>
      </c>
      <c r="AU176" s="96" t="str">
        <f>IFERROR(HLOOKUP($D176,[42]勤務表!$D$1:$AH$10,AU$3,FALSE),"")</f>
        <v/>
      </c>
      <c r="AV176" s="96" t="str">
        <f>IFERROR(HLOOKUP($D176,[42]勤務表!$D$1:$AH$10,AV$3,FALSE),"")</f>
        <v/>
      </c>
      <c r="AW176" s="96" t="str">
        <f>IFERROR(HLOOKUP($D176,[42]勤務表!$D$1:$AH$10,AW$3,FALSE),"")</f>
        <v/>
      </c>
      <c r="AX176" s="96" t="str">
        <f>IFERROR(HLOOKUP($D176,[42]勤務表!$D$1:$AH$10,AX$3,FALSE),"")</f>
        <v/>
      </c>
      <c r="AY176" s="96" t="str">
        <f>IFERROR(HLOOKUP($D176,[42]勤務表!$D$1:$AH$10,AY$3,FALSE),"")</f>
        <v/>
      </c>
    </row>
    <row r="177" spans="1:51" ht="13.9" customHeight="1" x14ac:dyDescent="0.15">
      <c r="A177" s="10">
        <v>2023</v>
      </c>
      <c r="B177" s="10">
        <f t="shared" ref="B177:B240" si="67">IF(B174+1&gt;12,B174+1-12,B174+1)</f>
        <v>10</v>
      </c>
      <c r="C177" s="67">
        <f t="shared" si="64"/>
        <v>45200</v>
      </c>
      <c r="D177" s="36">
        <f t="shared" si="63"/>
        <v>45224</v>
      </c>
      <c r="E177" s="37">
        <f t="shared" si="65"/>
        <v>45224</v>
      </c>
      <c r="F177" s="14" t="str">
        <f t="shared" si="66"/>
        <v>長田 弘二</v>
      </c>
      <c r="H177" s="91"/>
      <c r="I177" s="91"/>
      <c r="J177" s="91"/>
      <c r="K177" s="91"/>
      <c r="L177" s="91"/>
      <c r="M177" s="91"/>
      <c r="N177" s="91"/>
      <c r="O177" s="106"/>
      <c r="P177" s="106"/>
      <c r="Q177" s="106"/>
      <c r="R177" s="106"/>
      <c r="S177" s="91"/>
      <c r="T177" s="91"/>
      <c r="U177" s="91"/>
      <c r="V177" s="91">
        <v>1</v>
      </c>
      <c r="W177" s="91"/>
      <c r="X177" s="106"/>
      <c r="Y177" s="91"/>
      <c r="Z177" s="91"/>
      <c r="AA177" s="91"/>
      <c r="AB177" s="91"/>
      <c r="AC177" s="91"/>
      <c r="AD177" s="91"/>
      <c r="AE177" s="91"/>
      <c r="AF177" s="91"/>
      <c r="AG177" s="91"/>
      <c r="AH177" s="91"/>
      <c r="AI177" s="91"/>
      <c r="AJ177" s="91"/>
      <c r="AK177" s="91"/>
      <c r="AL177" s="91"/>
      <c r="AM177" s="93"/>
      <c r="AN177" s="93"/>
      <c r="AR177" s="95" t="str">
        <f>IFERROR(HLOOKUP(D177,[42]らいふクリニック!$D$1:$AH$4,AR$3,FALSE),"")</f>
        <v/>
      </c>
      <c r="AS177" s="97"/>
      <c r="AT177" s="96" t="str">
        <f>IFERROR(HLOOKUP($D177,[42]勤務表!$D$1:$AH$10,AT$3,FALSE),"")</f>
        <v/>
      </c>
      <c r="AU177" s="96" t="str">
        <f>IFERROR(HLOOKUP($D177,[42]勤務表!$D$1:$AH$10,AU$3,FALSE),"")</f>
        <v/>
      </c>
      <c r="AV177" s="96" t="str">
        <f>IFERROR(HLOOKUP($D177,[42]勤務表!$D$1:$AH$10,AV$3,FALSE),"")</f>
        <v/>
      </c>
      <c r="AW177" s="96" t="str">
        <f>IFERROR(HLOOKUP($D177,[42]勤務表!$D$1:$AH$10,AW$3,FALSE),"")</f>
        <v/>
      </c>
      <c r="AX177" s="96" t="str">
        <f>IFERROR(HLOOKUP($D177,[42]勤務表!$D$1:$AH$10,AX$3,FALSE),"")</f>
        <v/>
      </c>
      <c r="AY177" s="96" t="str">
        <f>IFERROR(HLOOKUP($D177,[42]勤務表!$D$1:$AH$10,AY$3,FALSE),"")</f>
        <v/>
      </c>
    </row>
    <row r="178" spans="1:51" ht="13.9" customHeight="1" x14ac:dyDescent="0.15">
      <c r="A178" s="10">
        <v>2023</v>
      </c>
      <c r="B178" s="10">
        <f t="shared" si="67"/>
        <v>11</v>
      </c>
      <c r="C178" s="67">
        <f t="shared" si="64"/>
        <v>45231</v>
      </c>
      <c r="D178" s="36">
        <f t="shared" si="61"/>
        <v>45238</v>
      </c>
      <c r="E178" s="37">
        <f t="shared" si="65"/>
        <v>45238</v>
      </c>
      <c r="F178" s="14" t="str">
        <f t="shared" si="66"/>
        <v>福知　千佳</v>
      </c>
      <c r="H178" s="91"/>
      <c r="I178" s="91"/>
      <c r="J178" s="91"/>
      <c r="K178" s="91"/>
      <c r="L178" s="91">
        <v>1</v>
      </c>
      <c r="M178" s="91"/>
      <c r="N178" s="91"/>
      <c r="O178" s="106"/>
      <c r="P178" s="106"/>
      <c r="Q178" s="106"/>
      <c r="R178" s="106"/>
      <c r="S178" s="91"/>
      <c r="T178" s="91"/>
      <c r="U178" s="91"/>
      <c r="V178" s="91"/>
      <c r="W178" s="91"/>
      <c r="X178" s="106"/>
      <c r="Y178" s="91"/>
      <c r="Z178" s="91"/>
      <c r="AA178" s="91"/>
      <c r="AB178" s="91"/>
      <c r="AC178" s="91"/>
      <c r="AD178" s="91"/>
      <c r="AE178" s="91"/>
      <c r="AF178" s="91"/>
      <c r="AG178" s="91"/>
      <c r="AH178" s="91"/>
      <c r="AI178" s="91"/>
      <c r="AJ178" s="91"/>
      <c r="AK178" s="91"/>
      <c r="AL178" s="91"/>
      <c r="AM178" s="93"/>
      <c r="AN178" s="93"/>
      <c r="AR178" s="95" t="str">
        <f>IFERROR(HLOOKUP(D178,[42]らいふクリニック!$D$1:$AH$4,AR$3,FALSE),"")</f>
        <v/>
      </c>
      <c r="AS178" s="97"/>
      <c r="AT178" s="98"/>
      <c r="AU178" s="98"/>
      <c r="AV178" s="98"/>
      <c r="AW178" s="98"/>
      <c r="AX178" s="98"/>
      <c r="AY178" s="98"/>
    </row>
    <row r="179" spans="1:51" ht="13.9" customHeight="1" x14ac:dyDescent="0.15">
      <c r="A179" s="10">
        <v>2023</v>
      </c>
      <c r="B179" s="10">
        <f t="shared" si="67"/>
        <v>11</v>
      </c>
      <c r="C179" s="67">
        <f t="shared" si="64"/>
        <v>45231</v>
      </c>
      <c r="D179" s="38">
        <f t="shared" si="62"/>
        <v>45251</v>
      </c>
      <c r="E179" s="37">
        <f t="shared" si="65"/>
        <v>45251</v>
      </c>
      <c r="F179" s="14" t="str">
        <f t="shared" si="66"/>
        <v>諸田　悠也</v>
      </c>
      <c r="H179" s="91"/>
      <c r="I179" s="91"/>
      <c r="J179" s="91"/>
      <c r="K179" s="91"/>
      <c r="L179" s="91"/>
      <c r="M179" s="91"/>
      <c r="N179" s="91"/>
      <c r="O179" s="106"/>
      <c r="P179" s="106"/>
      <c r="Q179" s="106"/>
      <c r="R179" s="106"/>
      <c r="S179" s="91"/>
      <c r="T179" s="91"/>
      <c r="U179" s="91"/>
      <c r="V179" s="91"/>
      <c r="W179" s="91"/>
      <c r="X179" s="106"/>
      <c r="Y179" s="91"/>
      <c r="Z179" s="91"/>
      <c r="AA179" s="91"/>
      <c r="AB179" s="91"/>
      <c r="AC179" s="91"/>
      <c r="AD179" s="91"/>
      <c r="AE179" s="91"/>
      <c r="AF179" s="91"/>
      <c r="AG179" s="91"/>
      <c r="AH179" s="91"/>
      <c r="AI179" s="91"/>
      <c r="AJ179" s="91"/>
      <c r="AK179" s="91">
        <v>1</v>
      </c>
      <c r="AL179" s="91"/>
      <c r="AM179" s="93"/>
      <c r="AN179" s="93"/>
      <c r="AR179" s="95" t="str">
        <f>IFERROR(HLOOKUP(D179,[42]らいふクリニック!$D$1:$AH$4,AR$3,FALSE),"")</f>
        <v/>
      </c>
      <c r="AS179" s="97"/>
      <c r="AT179" s="98"/>
      <c r="AU179" s="98"/>
      <c r="AV179" s="98"/>
      <c r="AW179" s="98"/>
      <c r="AX179" s="98"/>
      <c r="AY179" s="98"/>
    </row>
    <row r="180" spans="1:51" ht="13.9" customHeight="1" x14ac:dyDescent="0.15">
      <c r="A180" s="10">
        <v>2023</v>
      </c>
      <c r="B180" s="10">
        <f t="shared" si="67"/>
        <v>11</v>
      </c>
      <c r="C180" s="67">
        <f t="shared" si="64"/>
        <v>45231</v>
      </c>
      <c r="D180" s="36">
        <f t="shared" si="63"/>
        <v>45252</v>
      </c>
      <c r="E180" s="37">
        <f t="shared" si="65"/>
        <v>45252</v>
      </c>
      <c r="F180" s="14" t="str">
        <f t="shared" si="66"/>
        <v>澤野 正樹</v>
      </c>
      <c r="H180" s="91"/>
      <c r="I180" s="91"/>
      <c r="J180" s="91"/>
      <c r="K180" s="91"/>
      <c r="L180" s="91"/>
      <c r="M180" s="91"/>
      <c r="N180" s="91"/>
      <c r="O180" s="106"/>
      <c r="P180" s="106"/>
      <c r="Q180" s="106"/>
      <c r="R180" s="106">
        <v>1</v>
      </c>
      <c r="S180" s="91"/>
      <c r="T180" s="91"/>
      <c r="U180" s="91"/>
      <c r="V180" s="91"/>
      <c r="W180" s="91"/>
      <c r="X180" s="106"/>
      <c r="Y180" s="91"/>
      <c r="Z180" s="91"/>
      <c r="AA180" s="91"/>
      <c r="AB180" s="91"/>
      <c r="AC180" s="91"/>
      <c r="AD180" s="91"/>
      <c r="AE180" s="91"/>
      <c r="AF180" s="91"/>
      <c r="AG180" s="91"/>
      <c r="AH180" s="91"/>
      <c r="AI180" s="91"/>
      <c r="AJ180" s="91"/>
      <c r="AK180" s="91"/>
      <c r="AL180" s="91"/>
      <c r="AM180" s="93"/>
      <c r="AN180" s="93"/>
      <c r="AR180" s="95" t="str">
        <f>IFERROR(HLOOKUP(D180,[42]らいふクリニック!$D$1:$AH$4,AR$3,FALSE),"")</f>
        <v/>
      </c>
      <c r="AS180" s="97"/>
      <c r="AT180" s="98"/>
      <c r="AU180" s="98"/>
      <c r="AV180" s="98"/>
      <c r="AW180" s="98"/>
      <c r="AX180" s="98"/>
      <c r="AY180" s="98"/>
    </row>
    <row r="181" spans="1:51" ht="13.9" customHeight="1" x14ac:dyDescent="0.15">
      <c r="A181" s="10">
        <v>2023</v>
      </c>
      <c r="B181" s="10">
        <f t="shared" si="67"/>
        <v>12</v>
      </c>
      <c r="C181" s="67">
        <f t="shared" si="64"/>
        <v>45261</v>
      </c>
      <c r="D181" s="36">
        <f t="shared" si="61"/>
        <v>45273</v>
      </c>
      <c r="E181" s="37">
        <f t="shared" si="65"/>
        <v>45273</v>
      </c>
      <c r="F181" s="14" t="str">
        <f t="shared" si="66"/>
        <v>薬司 康平</v>
      </c>
      <c r="H181" s="91"/>
      <c r="I181" s="91"/>
      <c r="J181" s="91"/>
      <c r="K181" s="91"/>
      <c r="L181" s="91"/>
      <c r="M181" s="91"/>
      <c r="N181" s="91"/>
      <c r="O181" s="106"/>
      <c r="P181" s="106"/>
      <c r="Q181" s="106"/>
      <c r="R181" s="106"/>
      <c r="S181" s="91"/>
      <c r="T181" s="91"/>
      <c r="U181" s="91"/>
      <c r="V181" s="91"/>
      <c r="W181" s="91"/>
      <c r="X181" s="106"/>
      <c r="Y181" s="91"/>
      <c r="Z181" s="91"/>
      <c r="AA181" s="91"/>
      <c r="AB181" s="91"/>
      <c r="AC181" s="91"/>
      <c r="AD181" s="91"/>
      <c r="AE181" s="91"/>
      <c r="AF181" s="91"/>
      <c r="AG181" s="91">
        <v>1</v>
      </c>
      <c r="AH181" s="91"/>
      <c r="AI181" s="91"/>
      <c r="AJ181" s="91"/>
      <c r="AK181" s="91"/>
      <c r="AL181" s="91"/>
      <c r="AM181" s="93"/>
      <c r="AN181" s="93"/>
      <c r="AR181" s="95" t="str">
        <f>IFERROR(HLOOKUP(D181,[42]らいふクリニック!$D$1:$AH$4,AR$3,FALSE),"")</f>
        <v/>
      </c>
      <c r="AS181" s="97"/>
      <c r="AT181" s="98"/>
      <c r="AU181" s="98"/>
      <c r="AV181" s="98"/>
      <c r="AW181" s="98"/>
      <c r="AX181" s="98"/>
      <c r="AY181" s="98"/>
    </row>
    <row r="182" spans="1:51" ht="13.9" customHeight="1" x14ac:dyDescent="0.15">
      <c r="A182" s="10">
        <v>2023</v>
      </c>
      <c r="B182" s="10">
        <f t="shared" si="67"/>
        <v>12</v>
      </c>
      <c r="C182" s="67">
        <f t="shared" si="64"/>
        <v>45261</v>
      </c>
      <c r="D182" s="38">
        <f t="shared" si="62"/>
        <v>45279</v>
      </c>
      <c r="E182" s="37">
        <f t="shared" si="65"/>
        <v>45279</v>
      </c>
      <c r="F182" s="14" t="str">
        <f t="shared" si="66"/>
        <v>雨池　凌也</v>
      </c>
      <c r="H182" s="91"/>
      <c r="I182" s="91">
        <v>1</v>
      </c>
      <c r="J182" s="91"/>
      <c r="K182" s="91"/>
      <c r="L182" s="91"/>
      <c r="M182" s="91"/>
      <c r="N182" s="91"/>
      <c r="O182" s="106"/>
      <c r="P182" s="106"/>
      <c r="Q182" s="106"/>
      <c r="R182" s="106"/>
      <c r="S182" s="91"/>
      <c r="T182" s="91"/>
      <c r="U182" s="91"/>
      <c r="V182" s="91"/>
      <c r="W182" s="91"/>
      <c r="X182" s="106"/>
      <c r="Y182" s="91"/>
      <c r="Z182" s="91"/>
      <c r="AA182" s="91"/>
      <c r="AB182" s="91"/>
      <c r="AC182" s="91"/>
      <c r="AD182" s="91"/>
      <c r="AE182" s="91"/>
      <c r="AF182" s="91"/>
      <c r="AG182" s="91"/>
      <c r="AH182" s="91"/>
      <c r="AI182" s="91"/>
      <c r="AJ182" s="91"/>
      <c r="AK182" s="91"/>
      <c r="AL182" s="91"/>
      <c r="AM182" s="93"/>
      <c r="AN182" s="93"/>
      <c r="AR182" s="95" t="str">
        <f>IFERROR(HLOOKUP(D182,[42]らいふクリニック!$D$1:$AH$4,AR$3,FALSE),"")</f>
        <v/>
      </c>
      <c r="AS182" s="97"/>
      <c r="AT182" s="98"/>
      <c r="AU182" s="98"/>
      <c r="AV182" s="98"/>
      <c r="AW182" s="98"/>
      <c r="AX182" s="98"/>
      <c r="AY182" s="98"/>
    </row>
    <row r="183" spans="1:51" ht="13.9" customHeight="1" x14ac:dyDescent="0.15">
      <c r="A183" s="10">
        <v>2023</v>
      </c>
      <c r="B183" s="10">
        <f t="shared" si="67"/>
        <v>12</v>
      </c>
      <c r="C183" s="67">
        <f t="shared" si="64"/>
        <v>45261</v>
      </c>
      <c r="D183" s="36">
        <f t="shared" si="63"/>
        <v>45287</v>
      </c>
      <c r="E183" s="37">
        <f t="shared" si="65"/>
        <v>45287</v>
      </c>
      <c r="F183" s="14" t="str">
        <f t="shared" si="66"/>
        <v>西郡　健太</v>
      </c>
      <c r="H183" s="91"/>
      <c r="I183" s="91"/>
      <c r="J183" s="91"/>
      <c r="K183" s="91"/>
      <c r="L183" s="91"/>
      <c r="M183" s="91"/>
      <c r="N183" s="91"/>
      <c r="O183" s="106"/>
      <c r="P183" s="106"/>
      <c r="Q183" s="106"/>
      <c r="R183" s="106"/>
      <c r="S183" s="91"/>
      <c r="T183" s="91"/>
      <c r="U183" s="91"/>
      <c r="V183" s="91"/>
      <c r="W183" s="91"/>
      <c r="X183" s="106"/>
      <c r="Y183" s="91"/>
      <c r="Z183" s="91"/>
      <c r="AA183" s="91"/>
      <c r="AB183" s="91"/>
      <c r="AC183" s="91"/>
      <c r="AD183" s="91"/>
      <c r="AE183" s="91"/>
      <c r="AF183" s="91"/>
      <c r="AG183" s="91"/>
      <c r="AH183" s="91"/>
      <c r="AI183" s="91">
        <v>1</v>
      </c>
      <c r="AJ183" s="91"/>
      <c r="AK183" s="91"/>
      <c r="AL183" s="91"/>
      <c r="AM183" s="93"/>
      <c r="AN183" s="93"/>
      <c r="AR183" s="95" t="str">
        <f>IFERROR(HLOOKUP(D183,[42]らいふクリニック!$D$1:$AH$4,AR$3,FALSE),"")</f>
        <v/>
      </c>
      <c r="AS183" s="97"/>
      <c r="AT183" s="98"/>
      <c r="AU183" s="98"/>
      <c r="AV183" s="98"/>
      <c r="AW183" s="98"/>
      <c r="AX183" s="98"/>
      <c r="AY183" s="98"/>
    </row>
    <row r="184" spans="1:51" ht="13.9" customHeight="1" x14ac:dyDescent="0.15">
      <c r="A184" s="10">
        <v>2024</v>
      </c>
      <c r="B184" s="10">
        <f t="shared" si="67"/>
        <v>1</v>
      </c>
      <c r="C184" s="67">
        <f t="shared" si="64"/>
        <v>45292</v>
      </c>
      <c r="D184" s="36">
        <f t="shared" si="61"/>
        <v>45301</v>
      </c>
      <c r="E184" s="37">
        <f t="shared" si="65"/>
        <v>45301</v>
      </c>
      <c r="F184" s="14" t="str">
        <f t="shared" si="66"/>
        <v>片岡 恵梨子</v>
      </c>
      <c r="H184" s="91"/>
      <c r="I184" s="91"/>
      <c r="J184" s="91"/>
      <c r="K184" s="91"/>
      <c r="L184" s="91"/>
      <c r="M184" s="91"/>
      <c r="N184" s="91"/>
      <c r="O184" s="106"/>
      <c r="P184" s="106"/>
      <c r="Q184" s="106"/>
      <c r="R184" s="106"/>
      <c r="S184" s="91"/>
      <c r="T184" s="91"/>
      <c r="U184" s="91"/>
      <c r="V184" s="91"/>
      <c r="W184" s="91"/>
      <c r="X184" s="106"/>
      <c r="Y184" s="91"/>
      <c r="Z184" s="91"/>
      <c r="AA184" s="91"/>
      <c r="AB184" s="91"/>
      <c r="AC184" s="91">
        <v>1</v>
      </c>
      <c r="AD184" s="91"/>
      <c r="AE184" s="91"/>
      <c r="AF184" s="91"/>
      <c r="AG184" s="91"/>
      <c r="AH184" s="91"/>
      <c r="AI184" s="91"/>
      <c r="AJ184" s="91"/>
      <c r="AK184" s="91"/>
      <c r="AL184" s="91"/>
      <c r="AM184" s="93"/>
      <c r="AN184" s="93"/>
      <c r="AR184" s="95" t="str">
        <f>IFERROR(HLOOKUP(D184,[42]らいふクリニック!$D$1:$AH$4,AR$3,FALSE),"")</f>
        <v/>
      </c>
      <c r="AS184" s="97"/>
      <c r="AT184" s="98"/>
      <c r="AU184" s="98"/>
      <c r="AV184" s="98"/>
      <c r="AW184" s="98"/>
      <c r="AX184" s="98"/>
      <c r="AY184" s="98"/>
    </row>
    <row r="185" spans="1:51" ht="13.9" customHeight="1" x14ac:dyDescent="0.15">
      <c r="A185" s="10">
        <v>2024</v>
      </c>
      <c r="B185" s="10">
        <f t="shared" si="67"/>
        <v>1</v>
      </c>
      <c r="C185" s="67">
        <f t="shared" si="64"/>
        <v>45292</v>
      </c>
      <c r="D185" s="38">
        <f t="shared" si="62"/>
        <v>45307</v>
      </c>
      <c r="E185" s="37">
        <f t="shared" si="65"/>
        <v>45307</v>
      </c>
      <c r="F185" s="14" t="str">
        <f t="shared" si="66"/>
        <v>樫田　尚</v>
      </c>
      <c r="H185" s="91"/>
      <c r="I185" s="91"/>
      <c r="J185" s="91">
        <v>1</v>
      </c>
      <c r="K185" s="91"/>
      <c r="L185" s="91"/>
      <c r="M185" s="91"/>
      <c r="N185" s="91"/>
      <c r="O185" s="106"/>
      <c r="P185" s="106"/>
      <c r="Q185" s="106"/>
      <c r="R185" s="106"/>
      <c r="S185" s="91"/>
      <c r="T185" s="91"/>
      <c r="U185" s="91"/>
      <c r="V185" s="91"/>
      <c r="W185" s="91"/>
      <c r="X185" s="106"/>
      <c r="Y185" s="91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3"/>
      <c r="AN185" s="93"/>
      <c r="AR185" s="95" t="str">
        <f>IFERROR(HLOOKUP(D185,[42]らいふクリニック!$D$1:$AH$4,AR$3,FALSE),"")</f>
        <v/>
      </c>
      <c r="AS185" s="97"/>
      <c r="AT185" s="98"/>
      <c r="AU185" s="98"/>
      <c r="AV185" s="98"/>
      <c r="AW185" s="98"/>
      <c r="AX185" s="98"/>
      <c r="AY185" s="98"/>
    </row>
    <row r="186" spans="1:51" ht="13.9" customHeight="1" x14ac:dyDescent="0.15">
      <c r="A186" s="10">
        <v>2024</v>
      </c>
      <c r="B186" s="10">
        <f t="shared" si="67"/>
        <v>1</v>
      </c>
      <c r="C186" s="67">
        <f t="shared" si="64"/>
        <v>45292</v>
      </c>
      <c r="D186" s="36">
        <f t="shared" si="63"/>
        <v>45315</v>
      </c>
      <c r="E186" s="37">
        <f t="shared" si="65"/>
        <v>45315</v>
      </c>
      <c r="F186" s="14" t="str">
        <f t="shared" si="66"/>
        <v>庵　緋沙子</v>
      </c>
      <c r="H186" s="91"/>
      <c r="I186" s="91"/>
      <c r="J186" s="91"/>
      <c r="K186" s="91"/>
      <c r="L186" s="91"/>
      <c r="M186" s="91"/>
      <c r="N186" s="91"/>
      <c r="O186" s="106"/>
      <c r="P186" s="106"/>
      <c r="Q186" s="106"/>
      <c r="R186" s="106"/>
      <c r="S186" s="91"/>
      <c r="T186" s="91"/>
      <c r="U186" s="91"/>
      <c r="V186" s="91"/>
      <c r="W186" s="91"/>
      <c r="X186" s="106"/>
      <c r="Y186" s="91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>
        <v>1</v>
      </c>
      <c r="AM186" s="93"/>
      <c r="AN186" s="93"/>
      <c r="AR186" s="95" t="str">
        <f>IFERROR(HLOOKUP(D186,[42]らいふクリニック!$D$1:$AH$4,AR$3,FALSE),"")</f>
        <v/>
      </c>
      <c r="AS186" s="97"/>
      <c r="AT186" s="98"/>
      <c r="AU186" s="98"/>
      <c r="AV186" s="98"/>
      <c r="AW186" s="98"/>
      <c r="AX186" s="98"/>
      <c r="AY186" s="98"/>
    </row>
    <row r="187" spans="1:51" ht="13.9" customHeight="1" x14ac:dyDescent="0.15">
      <c r="A187" s="10">
        <v>2024</v>
      </c>
      <c r="B187" s="10">
        <f t="shared" si="67"/>
        <v>2</v>
      </c>
      <c r="C187" s="67">
        <f t="shared" si="64"/>
        <v>45323</v>
      </c>
      <c r="D187" s="36">
        <f t="shared" si="61"/>
        <v>45336</v>
      </c>
      <c r="E187" s="37">
        <f t="shared" si="65"/>
        <v>45336</v>
      </c>
      <c r="F187" s="14" t="str">
        <f t="shared" si="66"/>
        <v>平田 恵哉</v>
      </c>
      <c r="H187" s="91"/>
      <c r="I187" s="91"/>
      <c r="J187" s="91"/>
      <c r="K187" s="91"/>
      <c r="L187" s="91"/>
      <c r="M187" s="91"/>
      <c r="N187" s="91"/>
      <c r="O187" s="106"/>
      <c r="P187" s="106"/>
      <c r="Q187" s="106"/>
      <c r="R187" s="106"/>
      <c r="S187" s="91"/>
      <c r="T187" s="91"/>
      <c r="U187" s="91">
        <v>1</v>
      </c>
      <c r="V187" s="91"/>
      <c r="W187" s="91"/>
      <c r="X187" s="106"/>
      <c r="Y187" s="91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  <c r="AM187" s="93"/>
      <c r="AN187" s="93"/>
      <c r="AR187" s="95" t="str">
        <f>IFERROR(HLOOKUP(D187,[42]らいふクリニック!$D$1:$AH$4,AR$3,FALSE),"")</f>
        <v/>
      </c>
      <c r="AS187" s="97"/>
      <c r="AT187" s="98"/>
      <c r="AU187" s="98"/>
      <c r="AV187" s="98"/>
      <c r="AW187" s="98"/>
      <c r="AX187" s="98"/>
      <c r="AY187" s="98"/>
    </row>
    <row r="188" spans="1:51" ht="13.9" customHeight="1" x14ac:dyDescent="0.15">
      <c r="A188" s="10">
        <v>2024</v>
      </c>
      <c r="B188" s="10">
        <f t="shared" si="67"/>
        <v>2</v>
      </c>
      <c r="C188" s="67">
        <f t="shared" si="64"/>
        <v>45323</v>
      </c>
      <c r="D188" s="38">
        <f t="shared" si="62"/>
        <v>45342</v>
      </c>
      <c r="E188" s="37">
        <f t="shared" si="65"/>
        <v>45342</v>
      </c>
      <c r="F188" s="14" t="str">
        <f t="shared" si="66"/>
        <v>薬司 康平</v>
      </c>
      <c r="H188" s="91"/>
      <c r="I188" s="91"/>
      <c r="J188" s="91"/>
      <c r="K188" s="91"/>
      <c r="L188" s="91"/>
      <c r="M188" s="91"/>
      <c r="N188" s="91"/>
      <c r="O188" s="106"/>
      <c r="P188" s="106"/>
      <c r="Q188" s="106"/>
      <c r="R188" s="106"/>
      <c r="S188" s="91"/>
      <c r="T188" s="91"/>
      <c r="U188" s="91"/>
      <c r="V188" s="91"/>
      <c r="W188" s="91"/>
      <c r="X188" s="106"/>
      <c r="Y188" s="91"/>
      <c r="Z188" s="91"/>
      <c r="AA188" s="91"/>
      <c r="AB188" s="91"/>
      <c r="AC188" s="91"/>
      <c r="AD188" s="91"/>
      <c r="AE188" s="91"/>
      <c r="AF188" s="91"/>
      <c r="AG188" s="91">
        <v>1</v>
      </c>
      <c r="AH188" s="91"/>
      <c r="AI188" s="91"/>
      <c r="AJ188" s="91"/>
      <c r="AK188" s="91"/>
      <c r="AL188" s="91"/>
      <c r="AM188" s="93"/>
      <c r="AN188" s="93"/>
      <c r="AR188" s="95" t="str">
        <f>IFERROR(HLOOKUP(D188,[42]らいふクリニック!$D$1:$AH$4,AR$3,FALSE),"")</f>
        <v/>
      </c>
      <c r="AS188" s="97"/>
      <c r="AT188" s="98"/>
      <c r="AU188" s="98"/>
      <c r="AV188" s="98"/>
      <c r="AW188" s="98"/>
      <c r="AX188" s="98"/>
      <c r="AY188" s="98"/>
    </row>
    <row r="189" spans="1:51" ht="13.9" customHeight="1" x14ac:dyDescent="0.15">
      <c r="A189" s="10">
        <v>2024</v>
      </c>
      <c r="B189" s="10">
        <f t="shared" si="67"/>
        <v>2</v>
      </c>
      <c r="C189" s="67">
        <f t="shared" si="64"/>
        <v>45323</v>
      </c>
      <c r="D189" s="36">
        <f t="shared" si="63"/>
        <v>45350</v>
      </c>
      <c r="E189" s="37">
        <f t="shared" si="65"/>
        <v>45350</v>
      </c>
      <c r="F189" s="14" t="str">
        <f t="shared" si="66"/>
        <v>小竹　祐太朗　</v>
      </c>
      <c r="H189" s="91"/>
      <c r="I189" s="91"/>
      <c r="J189" s="91"/>
      <c r="K189" s="91"/>
      <c r="L189" s="91"/>
      <c r="M189" s="91">
        <v>1</v>
      </c>
      <c r="N189" s="91"/>
      <c r="O189" s="106"/>
      <c r="P189" s="106"/>
      <c r="Q189" s="106"/>
      <c r="R189" s="106"/>
      <c r="S189" s="91"/>
      <c r="T189" s="91"/>
      <c r="U189" s="91"/>
      <c r="V189" s="91"/>
      <c r="W189" s="91"/>
      <c r="X189" s="106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1"/>
      <c r="AL189" s="91"/>
      <c r="AM189" s="93"/>
      <c r="AN189" s="93"/>
      <c r="AR189" s="95" t="str">
        <f>IFERROR(HLOOKUP(D189,[42]らいふクリニック!$D$1:$AH$4,AR$3,FALSE),"")</f>
        <v/>
      </c>
      <c r="AS189" s="97"/>
      <c r="AT189" s="98"/>
      <c r="AU189" s="98"/>
      <c r="AV189" s="98"/>
      <c r="AW189" s="98"/>
      <c r="AX189" s="98"/>
      <c r="AY189" s="98"/>
    </row>
    <row r="190" spans="1:51" ht="13.9" customHeight="1" x14ac:dyDescent="0.15">
      <c r="A190" s="10">
        <v>2024</v>
      </c>
      <c r="B190" s="10">
        <f t="shared" si="67"/>
        <v>3</v>
      </c>
      <c r="C190" s="67">
        <f t="shared" si="64"/>
        <v>45352</v>
      </c>
      <c r="D190" s="36">
        <f t="shared" si="61"/>
        <v>45364</v>
      </c>
      <c r="E190" s="37">
        <f t="shared" si="65"/>
        <v>45364</v>
      </c>
      <c r="F190" s="14" t="str">
        <f t="shared" si="66"/>
        <v>坂下　大知</v>
      </c>
      <c r="H190" s="91"/>
      <c r="I190" s="91"/>
      <c r="J190" s="91"/>
      <c r="K190" s="91">
        <v>1</v>
      </c>
      <c r="L190" s="91"/>
      <c r="M190" s="91"/>
      <c r="N190" s="91"/>
      <c r="O190" s="106"/>
      <c r="P190" s="106"/>
      <c r="Q190" s="106"/>
      <c r="R190" s="106"/>
      <c r="S190" s="91"/>
      <c r="T190" s="91"/>
      <c r="U190" s="91"/>
      <c r="V190" s="91"/>
      <c r="W190" s="91"/>
      <c r="X190" s="106"/>
      <c r="Y190" s="91"/>
      <c r="Z190" s="91"/>
      <c r="AA190" s="91"/>
      <c r="AB190" s="91"/>
      <c r="AC190" s="91"/>
      <c r="AD190" s="91"/>
      <c r="AE190" s="91"/>
      <c r="AF190" s="91"/>
      <c r="AG190" s="91"/>
      <c r="AH190" s="91"/>
      <c r="AI190" s="91"/>
      <c r="AJ190" s="91"/>
      <c r="AK190" s="91"/>
      <c r="AL190" s="91"/>
      <c r="AM190" s="93"/>
      <c r="AN190" s="93"/>
      <c r="AR190" s="95" t="str">
        <f>IFERROR(HLOOKUP(D190,[42]らいふクリニック!$D$1:$AH$4,AR$3,FALSE),"")</f>
        <v/>
      </c>
      <c r="AS190" s="97"/>
      <c r="AT190" s="98"/>
      <c r="AU190" s="98"/>
      <c r="AV190" s="98"/>
      <c r="AW190" s="98"/>
      <c r="AX190" s="98"/>
      <c r="AY190" s="98"/>
    </row>
    <row r="191" spans="1:51" ht="13.9" customHeight="1" x14ac:dyDescent="0.15">
      <c r="A191" s="10">
        <v>2024</v>
      </c>
      <c r="B191" s="10">
        <f t="shared" si="67"/>
        <v>3</v>
      </c>
      <c r="C191" s="67">
        <f t="shared" si="64"/>
        <v>45352</v>
      </c>
      <c r="D191" s="38">
        <f t="shared" si="62"/>
        <v>45370</v>
      </c>
      <c r="E191" s="37">
        <f t="shared" si="65"/>
        <v>45370</v>
      </c>
      <c r="F191" s="14" t="str">
        <f t="shared" si="66"/>
        <v>庵　緋沙子</v>
      </c>
      <c r="H191" s="100"/>
      <c r="I191" s="100"/>
      <c r="J191" s="100"/>
      <c r="K191" s="100"/>
      <c r="L191" s="100"/>
      <c r="M191" s="100"/>
      <c r="N191" s="100"/>
      <c r="O191" s="107"/>
      <c r="P191" s="107"/>
      <c r="Q191" s="107"/>
      <c r="R191" s="107"/>
      <c r="S191" s="100"/>
      <c r="T191" s="100"/>
      <c r="U191" s="100"/>
      <c r="V191" s="100"/>
      <c r="W191" s="100"/>
      <c r="X191" s="107"/>
      <c r="Y191" s="100"/>
      <c r="Z191" s="100"/>
      <c r="AA191" s="100"/>
      <c r="AB191" s="100"/>
      <c r="AC191" s="100"/>
      <c r="AD191" s="100"/>
      <c r="AE191" s="100"/>
      <c r="AF191" s="100"/>
      <c r="AG191" s="100"/>
      <c r="AH191" s="100"/>
      <c r="AI191" s="100"/>
      <c r="AJ191" s="100"/>
      <c r="AK191" s="100"/>
      <c r="AL191" s="100">
        <v>1</v>
      </c>
      <c r="AM191" s="101"/>
      <c r="AN191" s="101"/>
      <c r="AR191" s="95" t="str">
        <f>IFERROR(HLOOKUP(D191,[42]らいふクリニック!$D$1:$AH$4,AR$3,FALSE),"")</f>
        <v/>
      </c>
      <c r="AS191" s="102"/>
      <c r="AT191" s="103"/>
      <c r="AU191" s="103"/>
      <c r="AV191" s="103"/>
      <c r="AW191" s="103"/>
      <c r="AX191" s="103"/>
      <c r="AY191" s="103"/>
    </row>
    <row r="192" spans="1:51" ht="13.9" customHeight="1" x14ac:dyDescent="0.15">
      <c r="A192" s="10">
        <v>2024</v>
      </c>
      <c r="B192" s="10">
        <f t="shared" si="67"/>
        <v>3</v>
      </c>
      <c r="C192" s="67">
        <f t="shared" si="64"/>
        <v>45352</v>
      </c>
      <c r="D192" s="36">
        <f t="shared" si="63"/>
        <v>45378</v>
      </c>
      <c r="E192" s="37">
        <f t="shared" si="65"/>
        <v>45378</v>
      </c>
      <c r="F192" s="14" t="str">
        <f t="shared" si="66"/>
        <v>袋　隼哉</v>
      </c>
      <c r="H192" s="91"/>
      <c r="I192" s="91"/>
      <c r="J192" s="91"/>
      <c r="K192" s="91"/>
      <c r="L192" s="91"/>
      <c r="M192" s="91"/>
      <c r="N192" s="91"/>
      <c r="O192" s="106"/>
      <c r="P192" s="106"/>
      <c r="Q192" s="106"/>
      <c r="R192" s="106"/>
      <c r="S192" s="91"/>
      <c r="T192" s="91">
        <v>1</v>
      </c>
      <c r="U192" s="91"/>
      <c r="V192" s="91"/>
      <c r="W192" s="91"/>
      <c r="X192" s="106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3"/>
      <c r="AN192" s="93"/>
      <c r="AO192" s="93"/>
      <c r="AP192" s="93"/>
      <c r="AQ192" s="93"/>
      <c r="AR192" s="97" t="str">
        <f>IFERROR(HLOOKUP(D192,[42]らいふクリニック!$D$1:$AH$4,AR$3,FALSE),"")</f>
        <v/>
      </c>
      <c r="AS192" s="97"/>
      <c r="AT192" s="98"/>
      <c r="AU192" s="98"/>
      <c r="AV192" s="98"/>
      <c r="AW192" s="98"/>
      <c r="AX192" s="98"/>
      <c r="AY192" s="98"/>
    </row>
    <row r="193" spans="1:51" ht="13.9" customHeight="1" x14ac:dyDescent="0.15">
      <c r="A193" s="10">
        <v>2024</v>
      </c>
      <c r="B193" s="10">
        <f t="shared" si="67"/>
        <v>4</v>
      </c>
      <c r="C193" s="67">
        <f t="shared" si="64"/>
        <v>45383</v>
      </c>
      <c r="D193" s="36">
        <f t="shared" si="61"/>
        <v>45392</v>
      </c>
      <c r="E193" s="37">
        <f t="shared" si="65"/>
        <v>45392</v>
      </c>
      <c r="F193" s="14" t="str">
        <f t="shared" si="66"/>
        <v>小川 穂波</v>
      </c>
      <c r="H193" s="91"/>
      <c r="I193" s="91"/>
      <c r="J193" s="91"/>
      <c r="K193" s="91"/>
      <c r="L193" s="91"/>
      <c r="M193" s="91"/>
      <c r="N193" s="91"/>
      <c r="O193" s="106"/>
      <c r="P193" s="106"/>
      <c r="Q193" s="106"/>
      <c r="R193" s="106"/>
      <c r="S193" s="91"/>
      <c r="T193" s="91"/>
      <c r="U193" s="91"/>
      <c r="V193" s="91"/>
      <c r="W193" s="91"/>
      <c r="X193" s="106"/>
      <c r="Y193" s="91"/>
      <c r="Z193" s="91"/>
      <c r="AA193" s="91"/>
      <c r="AB193" s="91"/>
      <c r="AC193" s="91"/>
      <c r="AD193" s="91"/>
      <c r="AE193" s="91"/>
      <c r="AF193" s="91"/>
      <c r="AG193" s="91"/>
      <c r="AH193" s="91">
        <v>1</v>
      </c>
      <c r="AI193" s="91"/>
      <c r="AJ193" s="91"/>
      <c r="AK193" s="91"/>
      <c r="AL193" s="91"/>
      <c r="AM193" s="93"/>
      <c r="AN193" s="93"/>
      <c r="AO193" s="93"/>
      <c r="AP193" s="93"/>
      <c r="AQ193" s="93"/>
      <c r="AR193" s="97"/>
      <c r="AS193" s="97"/>
      <c r="AT193" s="98"/>
      <c r="AU193" s="98"/>
      <c r="AV193" s="98"/>
      <c r="AW193" s="98"/>
      <c r="AX193" s="98"/>
      <c r="AY193" s="98"/>
    </row>
    <row r="194" spans="1:51" ht="13.9" customHeight="1" x14ac:dyDescent="0.15">
      <c r="A194" s="10">
        <v>2024</v>
      </c>
      <c r="B194" s="10">
        <f t="shared" si="67"/>
        <v>4</v>
      </c>
      <c r="C194" s="67">
        <f t="shared" ref="C194:C229" si="68">DATE(A194,B194,1)</f>
        <v>45383</v>
      </c>
      <c r="D194" s="38">
        <f t="shared" si="62"/>
        <v>45398</v>
      </c>
      <c r="E194" s="37">
        <f t="shared" si="65"/>
        <v>45398</v>
      </c>
      <c r="F194" s="14" t="str">
        <f t="shared" si="66"/>
        <v>南 博之</v>
      </c>
      <c r="H194" s="91"/>
      <c r="I194" s="91"/>
      <c r="J194" s="91"/>
      <c r="K194" s="91"/>
      <c r="L194" s="91"/>
      <c r="M194" s="91"/>
      <c r="N194" s="91"/>
      <c r="O194" s="106"/>
      <c r="P194" s="106"/>
      <c r="Q194" s="106">
        <v>1</v>
      </c>
      <c r="R194" s="106"/>
      <c r="S194" s="91"/>
      <c r="T194" s="91"/>
      <c r="U194" s="91"/>
      <c r="V194" s="91"/>
      <c r="W194" s="91"/>
      <c r="X194" s="106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3"/>
      <c r="AN194" s="93"/>
      <c r="AO194" s="93"/>
      <c r="AP194" s="93"/>
      <c r="AQ194" s="93"/>
      <c r="AR194" s="97"/>
      <c r="AS194" s="97"/>
      <c r="AT194" s="98"/>
      <c r="AU194" s="98"/>
      <c r="AV194" s="98"/>
      <c r="AW194" s="98"/>
      <c r="AX194" s="98"/>
      <c r="AY194" s="98"/>
    </row>
    <row r="195" spans="1:51" ht="13.9" customHeight="1" x14ac:dyDescent="0.15">
      <c r="A195" s="10">
        <v>2024</v>
      </c>
      <c r="B195" s="10">
        <f t="shared" si="67"/>
        <v>4</v>
      </c>
      <c r="C195" s="67">
        <f t="shared" si="68"/>
        <v>45383</v>
      </c>
      <c r="D195" s="36">
        <f t="shared" si="63"/>
        <v>45406</v>
      </c>
      <c r="E195" s="37">
        <f t="shared" si="65"/>
        <v>45406</v>
      </c>
      <c r="F195" s="14" t="str">
        <f t="shared" si="66"/>
        <v>坂下　大知</v>
      </c>
      <c r="H195" s="91"/>
      <c r="I195" s="91"/>
      <c r="J195" s="91"/>
      <c r="K195" s="91">
        <v>1</v>
      </c>
      <c r="L195" s="91"/>
      <c r="M195" s="91"/>
      <c r="N195" s="91"/>
      <c r="O195" s="106"/>
      <c r="P195" s="106"/>
      <c r="Q195" s="106"/>
      <c r="R195" s="106"/>
      <c r="S195" s="91"/>
      <c r="T195" s="91"/>
      <c r="U195" s="91"/>
      <c r="V195" s="91"/>
      <c r="W195" s="91"/>
      <c r="X195" s="106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3"/>
      <c r="AN195" s="93"/>
      <c r="AO195" s="93"/>
      <c r="AP195" s="93"/>
      <c r="AQ195" s="93"/>
      <c r="AR195" s="97"/>
      <c r="AS195" s="97"/>
      <c r="AT195" s="98"/>
      <c r="AU195" s="98"/>
      <c r="AV195" s="98"/>
      <c r="AW195" s="98"/>
      <c r="AX195" s="98"/>
      <c r="AY195" s="98"/>
    </row>
    <row r="196" spans="1:51" ht="13.9" customHeight="1" x14ac:dyDescent="0.15">
      <c r="A196" s="10">
        <v>2024</v>
      </c>
      <c r="B196" s="10">
        <f t="shared" si="67"/>
        <v>5</v>
      </c>
      <c r="C196" s="67">
        <f t="shared" si="68"/>
        <v>45413</v>
      </c>
      <c r="D196" s="36">
        <f t="shared" si="61"/>
        <v>45420</v>
      </c>
      <c r="E196" s="37">
        <f t="shared" si="65"/>
        <v>45420</v>
      </c>
      <c r="F196" s="14" t="str">
        <f t="shared" si="66"/>
        <v>西郡　健太</v>
      </c>
      <c r="H196" s="91"/>
      <c r="I196" s="91"/>
      <c r="J196" s="91"/>
      <c r="K196" s="91"/>
      <c r="L196" s="91"/>
      <c r="M196" s="91"/>
      <c r="N196" s="91"/>
      <c r="O196" s="106"/>
      <c r="P196" s="106"/>
      <c r="Q196" s="106"/>
      <c r="R196" s="106"/>
      <c r="S196" s="91"/>
      <c r="T196" s="91"/>
      <c r="U196" s="91"/>
      <c r="V196" s="91"/>
      <c r="W196" s="91"/>
      <c r="X196" s="106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>
        <v>1</v>
      </c>
      <c r="AJ196" s="91"/>
      <c r="AK196" s="91"/>
      <c r="AL196" s="91"/>
      <c r="AM196" s="93"/>
      <c r="AN196" s="93"/>
      <c r="AO196" s="93"/>
      <c r="AP196" s="93"/>
      <c r="AQ196" s="93"/>
      <c r="AR196" s="97"/>
      <c r="AS196" s="97"/>
      <c r="AT196" s="98"/>
      <c r="AU196" s="98"/>
      <c r="AV196" s="98"/>
      <c r="AW196" s="98"/>
      <c r="AX196" s="98"/>
      <c r="AY196" s="98"/>
    </row>
    <row r="197" spans="1:51" ht="13.9" customHeight="1" x14ac:dyDescent="0.15">
      <c r="A197" s="10">
        <v>2024</v>
      </c>
      <c r="B197" s="10">
        <f t="shared" si="67"/>
        <v>5</v>
      </c>
      <c r="C197" s="67">
        <f t="shared" si="68"/>
        <v>45413</v>
      </c>
      <c r="D197" s="38">
        <f t="shared" si="62"/>
        <v>45433</v>
      </c>
      <c r="E197" s="37">
        <f t="shared" si="65"/>
        <v>45433</v>
      </c>
      <c r="F197" s="14" t="str">
        <f t="shared" si="66"/>
        <v>片岡 恵梨子</v>
      </c>
      <c r="H197" s="91"/>
      <c r="I197" s="91"/>
      <c r="J197" s="91"/>
      <c r="K197" s="91"/>
      <c r="L197" s="91"/>
      <c r="M197" s="91"/>
      <c r="N197" s="91"/>
      <c r="O197" s="106"/>
      <c r="P197" s="106"/>
      <c r="Q197" s="106"/>
      <c r="R197" s="106"/>
      <c r="S197" s="91"/>
      <c r="T197" s="91"/>
      <c r="U197" s="91"/>
      <c r="V197" s="91"/>
      <c r="W197" s="91"/>
      <c r="X197" s="106"/>
      <c r="Y197" s="91"/>
      <c r="Z197" s="91"/>
      <c r="AA197" s="91"/>
      <c r="AB197" s="91"/>
      <c r="AC197" s="91">
        <v>1</v>
      </c>
      <c r="AD197" s="91"/>
      <c r="AE197" s="91"/>
      <c r="AF197" s="91"/>
      <c r="AG197" s="91"/>
      <c r="AH197" s="91"/>
      <c r="AI197" s="91"/>
      <c r="AJ197" s="91"/>
      <c r="AK197" s="91"/>
      <c r="AL197" s="91"/>
      <c r="AM197" s="93"/>
      <c r="AN197" s="93"/>
      <c r="AO197" s="93"/>
      <c r="AP197" s="93"/>
      <c r="AQ197" s="93"/>
      <c r="AR197" s="97"/>
      <c r="AS197" s="97"/>
      <c r="AT197" s="98"/>
      <c r="AU197" s="98"/>
      <c r="AV197" s="98"/>
      <c r="AW197" s="98"/>
      <c r="AX197" s="98"/>
      <c r="AY197" s="98"/>
    </row>
    <row r="198" spans="1:51" ht="13.9" customHeight="1" x14ac:dyDescent="0.15">
      <c r="A198" s="10">
        <v>2024</v>
      </c>
      <c r="B198" s="10">
        <f t="shared" si="67"/>
        <v>5</v>
      </c>
      <c r="C198" s="67">
        <f t="shared" si="68"/>
        <v>45413</v>
      </c>
      <c r="D198" s="36">
        <f t="shared" si="63"/>
        <v>45434</v>
      </c>
      <c r="E198" s="37">
        <f t="shared" si="65"/>
        <v>45434</v>
      </c>
      <c r="F198" s="14" t="str">
        <f t="shared" si="66"/>
        <v>小竹　祐太朗　</v>
      </c>
      <c r="H198" s="91"/>
      <c r="I198" s="91"/>
      <c r="J198" s="91"/>
      <c r="K198" s="91"/>
      <c r="L198" s="91"/>
      <c r="M198" s="91">
        <v>1</v>
      </c>
      <c r="N198" s="91"/>
      <c r="O198" s="106"/>
      <c r="P198" s="106"/>
      <c r="Q198" s="106"/>
      <c r="R198" s="106"/>
      <c r="S198" s="91"/>
      <c r="T198" s="91"/>
      <c r="U198" s="91"/>
      <c r="V198" s="91"/>
      <c r="W198" s="91"/>
      <c r="X198" s="106"/>
      <c r="Y198" s="91"/>
      <c r="Z198" s="91"/>
      <c r="AA198" s="91"/>
      <c r="AB198" s="91"/>
      <c r="AC198" s="91"/>
      <c r="AD198" s="91"/>
      <c r="AE198" s="91"/>
      <c r="AF198" s="91"/>
      <c r="AG198" s="91"/>
      <c r="AH198" s="91"/>
      <c r="AI198" s="91"/>
      <c r="AJ198" s="91"/>
      <c r="AK198" s="91"/>
      <c r="AL198" s="91"/>
      <c r="AM198" s="93"/>
      <c r="AN198" s="93"/>
      <c r="AO198" s="93"/>
      <c r="AP198" s="93"/>
      <c r="AQ198" s="93"/>
      <c r="AR198" s="97"/>
      <c r="AS198" s="97"/>
      <c r="AT198" s="98"/>
      <c r="AU198" s="98"/>
      <c r="AV198" s="98"/>
      <c r="AW198" s="98"/>
      <c r="AX198" s="98"/>
      <c r="AY198" s="98"/>
    </row>
    <row r="199" spans="1:51" ht="13.9" customHeight="1" x14ac:dyDescent="0.15">
      <c r="A199" s="10">
        <v>2024</v>
      </c>
      <c r="B199" s="10">
        <f t="shared" si="67"/>
        <v>6</v>
      </c>
      <c r="C199" s="67">
        <f t="shared" si="68"/>
        <v>45444</v>
      </c>
      <c r="D199" s="36">
        <f t="shared" si="61"/>
        <v>45455</v>
      </c>
      <c r="E199" s="37">
        <f t="shared" si="65"/>
        <v>45455</v>
      </c>
      <c r="F199" s="14" t="str">
        <f t="shared" si="66"/>
        <v>雨池　凌也</v>
      </c>
      <c r="H199" s="91"/>
      <c r="I199" s="91">
        <v>1</v>
      </c>
      <c r="J199" s="91"/>
      <c r="K199" s="91"/>
      <c r="L199" s="91"/>
      <c r="M199" s="91"/>
      <c r="N199" s="91"/>
      <c r="O199" s="106"/>
      <c r="P199" s="106"/>
      <c r="Q199" s="106"/>
      <c r="R199" s="106"/>
      <c r="S199" s="91"/>
      <c r="T199" s="91"/>
      <c r="U199" s="91"/>
      <c r="V199" s="91"/>
      <c r="W199" s="91"/>
      <c r="X199" s="106"/>
      <c r="Y199" s="91"/>
      <c r="Z199" s="91"/>
      <c r="AA199" s="91"/>
      <c r="AB199" s="91"/>
      <c r="AC199" s="91"/>
      <c r="AD199" s="91"/>
      <c r="AE199" s="91"/>
      <c r="AF199" s="91"/>
      <c r="AG199" s="91"/>
      <c r="AH199" s="91"/>
      <c r="AI199" s="91"/>
      <c r="AJ199" s="91"/>
      <c r="AK199" s="91"/>
      <c r="AL199" s="91"/>
      <c r="AM199" s="93"/>
      <c r="AN199" s="93"/>
      <c r="AO199" s="93"/>
      <c r="AP199" s="93"/>
      <c r="AQ199" s="93"/>
      <c r="AR199" s="97"/>
      <c r="AS199" s="97"/>
      <c r="AT199" s="98"/>
      <c r="AU199" s="98"/>
      <c r="AV199" s="98"/>
      <c r="AW199" s="98"/>
      <c r="AX199" s="98"/>
      <c r="AY199" s="98"/>
    </row>
    <row r="200" spans="1:51" ht="13.9" customHeight="1" x14ac:dyDescent="0.15">
      <c r="A200" s="10">
        <v>2024</v>
      </c>
      <c r="B200" s="10">
        <f t="shared" si="67"/>
        <v>6</v>
      </c>
      <c r="C200" s="67">
        <f t="shared" si="68"/>
        <v>45444</v>
      </c>
      <c r="D200" s="38">
        <f t="shared" si="62"/>
        <v>45461</v>
      </c>
      <c r="E200" s="37">
        <f t="shared" si="65"/>
        <v>45461</v>
      </c>
      <c r="F200" s="14" t="str">
        <f t="shared" si="66"/>
        <v>樫田　尚</v>
      </c>
      <c r="H200" s="91"/>
      <c r="I200" s="91"/>
      <c r="J200" s="91">
        <v>1</v>
      </c>
      <c r="K200" s="91"/>
      <c r="L200" s="91"/>
      <c r="M200" s="91"/>
      <c r="N200" s="91"/>
      <c r="O200" s="106"/>
      <c r="P200" s="106"/>
      <c r="Q200" s="106"/>
      <c r="R200" s="106"/>
      <c r="S200" s="91"/>
      <c r="T200" s="91"/>
      <c r="U200" s="91"/>
      <c r="V200" s="91"/>
      <c r="W200" s="91"/>
      <c r="X200" s="106"/>
      <c r="Y200" s="91"/>
      <c r="Z200" s="91"/>
      <c r="AA200" s="91"/>
      <c r="AB200" s="91"/>
      <c r="AC200" s="91"/>
      <c r="AD200" s="91"/>
      <c r="AE200" s="91"/>
      <c r="AF200" s="91"/>
      <c r="AG200" s="91"/>
      <c r="AH200" s="91"/>
      <c r="AI200" s="91"/>
      <c r="AJ200" s="91"/>
      <c r="AK200" s="91"/>
      <c r="AL200" s="91"/>
      <c r="AM200" s="93"/>
      <c r="AN200" s="93"/>
      <c r="AO200" s="93"/>
      <c r="AP200" s="93"/>
      <c r="AQ200" s="93"/>
      <c r="AR200" s="97"/>
      <c r="AS200" s="97"/>
      <c r="AT200" s="98"/>
      <c r="AU200" s="98"/>
      <c r="AV200" s="98"/>
      <c r="AW200" s="98"/>
      <c r="AX200" s="98"/>
      <c r="AY200" s="98"/>
    </row>
    <row r="201" spans="1:51" ht="13.9" customHeight="1" x14ac:dyDescent="0.15">
      <c r="A201" s="10">
        <v>2024</v>
      </c>
      <c r="B201" s="10">
        <f t="shared" si="67"/>
        <v>6</v>
      </c>
      <c r="C201" s="67">
        <f t="shared" si="68"/>
        <v>45444</v>
      </c>
      <c r="D201" s="36">
        <f t="shared" si="63"/>
        <v>45469</v>
      </c>
      <c r="E201" s="37">
        <f t="shared" si="65"/>
        <v>45469</v>
      </c>
      <c r="F201" s="14" t="str">
        <f t="shared" si="66"/>
        <v>福知　千佳</v>
      </c>
      <c r="H201" s="91"/>
      <c r="I201" s="91"/>
      <c r="J201" s="91"/>
      <c r="K201" s="91"/>
      <c r="L201" s="91">
        <v>1</v>
      </c>
      <c r="M201" s="91"/>
      <c r="N201" s="91"/>
      <c r="O201" s="106"/>
      <c r="P201" s="106"/>
      <c r="Q201" s="106"/>
      <c r="R201" s="106"/>
      <c r="S201" s="91"/>
      <c r="T201" s="91"/>
      <c r="U201" s="91"/>
      <c r="V201" s="91"/>
      <c r="W201" s="91"/>
      <c r="X201" s="106"/>
      <c r="Y201" s="91"/>
      <c r="Z201" s="91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91"/>
      <c r="AL201" s="91"/>
      <c r="AM201" s="93"/>
      <c r="AN201" s="93"/>
      <c r="AO201" s="93"/>
      <c r="AP201" s="93"/>
      <c r="AQ201" s="93"/>
      <c r="AR201" s="97"/>
      <c r="AS201" s="97"/>
      <c r="AT201" s="98"/>
      <c r="AU201" s="98"/>
      <c r="AV201" s="98"/>
      <c r="AW201" s="98"/>
      <c r="AX201" s="98"/>
      <c r="AY201" s="98"/>
    </row>
    <row r="202" spans="1:51" ht="13.9" customHeight="1" x14ac:dyDescent="0.15">
      <c r="A202" s="10">
        <v>2024</v>
      </c>
      <c r="B202" s="10">
        <f t="shared" si="67"/>
        <v>7</v>
      </c>
      <c r="C202" s="67">
        <f t="shared" si="68"/>
        <v>45474</v>
      </c>
      <c r="D202" s="36">
        <f t="shared" si="61"/>
        <v>45483</v>
      </c>
      <c r="E202" s="37">
        <f t="shared" si="65"/>
        <v>45483</v>
      </c>
      <c r="F202" s="14" t="str">
        <f t="shared" si="66"/>
        <v>薬司 康平</v>
      </c>
      <c r="H202" s="91"/>
      <c r="I202" s="91"/>
      <c r="J202" s="91"/>
      <c r="K202" s="91"/>
      <c r="L202" s="91"/>
      <c r="M202" s="91"/>
      <c r="N202" s="91"/>
      <c r="O202" s="106"/>
      <c r="P202" s="106"/>
      <c r="Q202" s="106"/>
      <c r="R202" s="106"/>
      <c r="S202" s="91"/>
      <c r="T202" s="91"/>
      <c r="U202" s="91"/>
      <c r="V202" s="91"/>
      <c r="W202" s="91"/>
      <c r="X202" s="106"/>
      <c r="Y202" s="91"/>
      <c r="Z202" s="91"/>
      <c r="AA202" s="91"/>
      <c r="AB202" s="91"/>
      <c r="AC202" s="91"/>
      <c r="AD202" s="91"/>
      <c r="AE202" s="91"/>
      <c r="AF202" s="91"/>
      <c r="AG202" s="91">
        <v>1</v>
      </c>
      <c r="AH202" s="91"/>
      <c r="AI202" s="91"/>
      <c r="AJ202" s="91"/>
      <c r="AK202" s="91"/>
      <c r="AL202" s="91"/>
      <c r="AM202" s="93"/>
      <c r="AN202" s="93"/>
      <c r="AO202" s="93"/>
      <c r="AP202" s="93"/>
      <c r="AQ202" s="93"/>
      <c r="AR202" s="97"/>
      <c r="AS202" s="97"/>
      <c r="AT202" s="98"/>
      <c r="AU202" s="98"/>
      <c r="AV202" s="98"/>
      <c r="AW202" s="98"/>
      <c r="AX202" s="98"/>
      <c r="AY202" s="98"/>
    </row>
    <row r="203" spans="1:51" ht="13.9" customHeight="1" x14ac:dyDescent="0.15">
      <c r="A203" s="10">
        <v>2024</v>
      </c>
      <c r="B203" s="10">
        <f t="shared" si="67"/>
        <v>7</v>
      </c>
      <c r="C203" s="67">
        <f t="shared" si="68"/>
        <v>45474</v>
      </c>
      <c r="D203" s="38">
        <f t="shared" si="62"/>
        <v>45489</v>
      </c>
      <c r="E203" s="37">
        <f t="shared" si="65"/>
        <v>45489</v>
      </c>
      <c r="F203" s="14" t="str">
        <f t="shared" si="66"/>
        <v>袋　隼哉</v>
      </c>
      <c r="H203" s="91"/>
      <c r="I203" s="91"/>
      <c r="J203" s="91"/>
      <c r="K203" s="91"/>
      <c r="L203" s="91"/>
      <c r="M203" s="91"/>
      <c r="N203" s="91"/>
      <c r="O203" s="106"/>
      <c r="P203" s="106"/>
      <c r="Q203" s="106"/>
      <c r="R203" s="106"/>
      <c r="S203" s="91"/>
      <c r="T203" s="91">
        <v>1</v>
      </c>
      <c r="U203" s="91"/>
      <c r="V203" s="91"/>
      <c r="W203" s="91"/>
      <c r="X203" s="106"/>
      <c r="Y203" s="91"/>
      <c r="Z203" s="91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91"/>
      <c r="AL203" s="91"/>
      <c r="AM203" s="93"/>
      <c r="AN203" s="93"/>
      <c r="AO203" s="93"/>
      <c r="AP203" s="93"/>
      <c r="AQ203" s="93"/>
      <c r="AR203" s="97"/>
      <c r="AS203" s="97"/>
      <c r="AT203" s="98"/>
      <c r="AU203" s="98"/>
      <c r="AV203" s="98"/>
      <c r="AW203" s="98"/>
      <c r="AX203" s="98"/>
      <c r="AY203" s="98"/>
    </row>
    <row r="204" spans="1:51" ht="13.9" customHeight="1" x14ac:dyDescent="0.15">
      <c r="A204" s="10">
        <v>2024</v>
      </c>
      <c r="B204" s="10">
        <f t="shared" si="67"/>
        <v>7</v>
      </c>
      <c r="C204" s="67">
        <f t="shared" si="68"/>
        <v>45474</v>
      </c>
      <c r="D204" s="36">
        <f t="shared" si="63"/>
        <v>45497</v>
      </c>
      <c r="E204" s="37">
        <f t="shared" si="65"/>
        <v>45497</v>
      </c>
      <c r="F204" s="14" t="str">
        <f t="shared" si="66"/>
        <v>田村 能之</v>
      </c>
      <c r="H204" s="91"/>
      <c r="I204" s="91"/>
      <c r="J204" s="91"/>
      <c r="K204" s="91"/>
      <c r="L204" s="91"/>
      <c r="M204" s="91"/>
      <c r="N204" s="91"/>
      <c r="O204" s="106"/>
      <c r="P204" s="106"/>
      <c r="Q204" s="106"/>
      <c r="R204" s="106"/>
      <c r="S204" s="91"/>
      <c r="T204" s="91"/>
      <c r="U204" s="91"/>
      <c r="V204" s="91"/>
      <c r="W204" s="91"/>
      <c r="X204" s="106"/>
      <c r="Y204" s="91"/>
      <c r="Z204" s="91"/>
      <c r="AA204" s="91">
        <v>1</v>
      </c>
      <c r="AB204" s="91"/>
      <c r="AC204" s="91"/>
      <c r="AD204" s="91"/>
      <c r="AE204" s="91"/>
      <c r="AF204" s="91"/>
      <c r="AG204" s="91"/>
      <c r="AH204" s="91"/>
      <c r="AI204" s="91"/>
      <c r="AJ204" s="91"/>
      <c r="AK204" s="91"/>
      <c r="AL204" s="91"/>
      <c r="AM204" s="93"/>
      <c r="AN204" s="93"/>
      <c r="AO204" s="93"/>
      <c r="AP204" s="93"/>
      <c r="AQ204" s="93"/>
      <c r="AR204" s="97"/>
      <c r="AS204" s="97"/>
      <c r="AT204" s="98"/>
      <c r="AU204" s="98"/>
      <c r="AV204" s="98"/>
      <c r="AW204" s="98"/>
      <c r="AX204" s="98"/>
      <c r="AY204" s="98"/>
    </row>
    <row r="205" spans="1:51" ht="13.9" customHeight="1" x14ac:dyDescent="0.15">
      <c r="A205" s="10">
        <v>2024</v>
      </c>
      <c r="B205" s="10">
        <f t="shared" si="67"/>
        <v>8</v>
      </c>
      <c r="C205" s="67">
        <f t="shared" si="68"/>
        <v>45505</v>
      </c>
      <c r="D205" s="36">
        <f t="shared" si="61"/>
        <v>45518</v>
      </c>
      <c r="E205" s="37">
        <f t="shared" si="65"/>
        <v>45518</v>
      </c>
      <c r="F205" s="14" t="str">
        <f t="shared" si="66"/>
        <v>長田 弘二</v>
      </c>
      <c r="H205" s="91"/>
      <c r="I205" s="91"/>
      <c r="J205" s="91"/>
      <c r="K205" s="91"/>
      <c r="L205" s="91"/>
      <c r="M205" s="91"/>
      <c r="N205" s="91"/>
      <c r="O205" s="106"/>
      <c r="P205" s="106"/>
      <c r="Q205" s="106"/>
      <c r="R205" s="106"/>
      <c r="S205" s="91"/>
      <c r="T205" s="91"/>
      <c r="U205" s="91"/>
      <c r="V205" s="91">
        <v>1</v>
      </c>
      <c r="W205" s="91"/>
      <c r="X205" s="106"/>
      <c r="Y205" s="91"/>
      <c r="Z205" s="91"/>
      <c r="AA205" s="91"/>
      <c r="AB205" s="91"/>
      <c r="AC205" s="91"/>
      <c r="AD205" s="91"/>
      <c r="AE205" s="91"/>
      <c r="AF205" s="91"/>
      <c r="AG205" s="91"/>
      <c r="AH205" s="91"/>
      <c r="AI205" s="91"/>
      <c r="AJ205" s="91"/>
      <c r="AK205" s="91"/>
      <c r="AL205" s="91"/>
      <c r="AM205" s="93"/>
      <c r="AN205" s="93"/>
      <c r="AO205" s="93"/>
      <c r="AP205" s="93"/>
      <c r="AQ205" s="93"/>
      <c r="AR205" s="97"/>
      <c r="AS205" s="97"/>
      <c r="AT205" s="98"/>
      <c r="AU205" s="98"/>
      <c r="AV205" s="98"/>
      <c r="AW205" s="98"/>
      <c r="AX205" s="98"/>
      <c r="AY205" s="98"/>
    </row>
    <row r="206" spans="1:51" ht="13.9" customHeight="1" x14ac:dyDescent="0.15">
      <c r="A206" s="10">
        <v>2024</v>
      </c>
      <c r="B206" s="10">
        <f t="shared" si="67"/>
        <v>8</v>
      </c>
      <c r="C206" s="67">
        <f t="shared" si="68"/>
        <v>45505</v>
      </c>
      <c r="D206" s="38">
        <f t="shared" si="62"/>
        <v>45524</v>
      </c>
      <c r="E206" s="37">
        <f t="shared" si="65"/>
        <v>45524</v>
      </c>
      <c r="F206" s="14" t="str">
        <f t="shared" si="66"/>
        <v>南 博之</v>
      </c>
      <c r="H206" s="91"/>
      <c r="I206" s="91"/>
      <c r="J206" s="91"/>
      <c r="K206" s="91"/>
      <c r="L206" s="91"/>
      <c r="M206" s="91"/>
      <c r="N206" s="91"/>
      <c r="O206" s="106"/>
      <c r="P206" s="106"/>
      <c r="Q206" s="106">
        <v>1</v>
      </c>
      <c r="R206" s="106"/>
      <c r="S206" s="91"/>
      <c r="T206" s="91"/>
      <c r="U206" s="91"/>
      <c r="V206" s="91"/>
      <c r="W206" s="91"/>
      <c r="X206" s="106"/>
      <c r="Y206" s="91"/>
      <c r="Z206" s="91"/>
      <c r="AA206" s="91"/>
      <c r="AB206" s="91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93"/>
      <c r="AN206" s="93"/>
      <c r="AO206" s="93"/>
      <c r="AP206" s="93"/>
      <c r="AQ206" s="93"/>
      <c r="AR206" s="97"/>
      <c r="AS206" s="97"/>
      <c r="AT206" s="98"/>
      <c r="AU206" s="98"/>
      <c r="AV206" s="98"/>
      <c r="AW206" s="98"/>
      <c r="AX206" s="98"/>
      <c r="AY206" s="98"/>
    </row>
    <row r="207" spans="1:51" ht="13.9" customHeight="1" x14ac:dyDescent="0.15">
      <c r="A207" s="10">
        <v>2024</v>
      </c>
      <c r="B207" s="10">
        <f t="shared" si="67"/>
        <v>8</v>
      </c>
      <c r="C207" s="67">
        <f t="shared" si="68"/>
        <v>45505</v>
      </c>
      <c r="D207" s="36">
        <f t="shared" si="63"/>
        <v>45532</v>
      </c>
      <c r="E207" s="37">
        <f t="shared" si="65"/>
        <v>45532</v>
      </c>
      <c r="F207" s="14" t="str">
        <f t="shared" si="66"/>
        <v>平田 恵哉</v>
      </c>
      <c r="H207" s="91"/>
      <c r="I207" s="91"/>
      <c r="J207" s="91"/>
      <c r="K207" s="91"/>
      <c r="L207" s="91"/>
      <c r="M207" s="91"/>
      <c r="N207" s="91"/>
      <c r="O207" s="106"/>
      <c r="P207" s="106"/>
      <c r="Q207" s="106"/>
      <c r="R207" s="106"/>
      <c r="S207" s="91"/>
      <c r="T207" s="91"/>
      <c r="U207" s="91">
        <v>1</v>
      </c>
      <c r="V207" s="91"/>
      <c r="W207" s="91"/>
      <c r="X207" s="106"/>
      <c r="Y207" s="91"/>
      <c r="Z207" s="91"/>
      <c r="AA207" s="91"/>
      <c r="AB207" s="91"/>
      <c r="AC207" s="91"/>
      <c r="AD207" s="91"/>
      <c r="AE207" s="91"/>
      <c r="AF207" s="91"/>
      <c r="AG207" s="91"/>
      <c r="AH207" s="91"/>
      <c r="AI207" s="91"/>
      <c r="AJ207" s="91"/>
      <c r="AK207" s="91"/>
      <c r="AL207" s="91"/>
      <c r="AM207" s="93"/>
      <c r="AN207" s="93"/>
      <c r="AO207" s="93"/>
      <c r="AP207" s="93"/>
      <c r="AQ207" s="93"/>
      <c r="AR207" s="97"/>
      <c r="AS207" s="97"/>
      <c r="AT207" s="98"/>
      <c r="AU207" s="98"/>
      <c r="AV207" s="98"/>
      <c r="AW207" s="98"/>
      <c r="AX207" s="98"/>
      <c r="AY207" s="98"/>
    </row>
    <row r="208" spans="1:51" ht="13.9" customHeight="1" x14ac:dyDescent="0.15">
      <c r="A208" s="10">
        <v>2024</v>
      </c>
      <c r="B208" s="10">
        <f t="shared" si="67"/>
        <v>9</v>
      </c>
      <c r="C208" s="67">
        <f t="shared" si="68"/>
        <v>45536</v>
      </c>
      <c r="D208" s="36">
        <f t="shared" si="61"/>
        <v>45546</v>
      </c>
      <c r="E208" s="37">
        <f t="shared" si="65"/>
        <v>45546</v>
      </c>
      <c r="F208" s="14" t="str">
        <f t="shared" si="66"/>
        <v>片岡 恵梨子</v>
      </c>
      <c r="H208" s="91"/>
      <c r="I208" s="91"/>
      <c r="J208" s="91"/>
      <c r="K208" s="91"/>
      <c r="L208" s="91"/>
      <c r="M208" s="91"/>
      <c r="N208" s="91"/>
      <c r="O208" s="106"/>
      <c r="P208" s="106"/>
      <c r="Q208" s="106"/>
      <c r="R208" s="106"/>
      <c r="S208" s="91"/>
      <c r="T208" s="91"/>
      <c r="U208" s="91"/>
      <c r="V208" s="91"/>
      <c r="W208" s="91"/>
      <c r="X208" s="106"/>
      <c r="Y208" s="91"/>
      <c r="Z208" s="91"/>
      <c r="AA208" s="91"/>
      <c r="AB208" s="91"/>
      <c r="AC208" s="91">
        <v>1</v>
      </c>
      <c r="AD208" s="91"/>
      <c r="AE208" s="91"/>
      <c r="AF208" s="91"/>
      <c r="AG208" s="91"/>
      <c r="AH208" s="91"/>
      <c r="AI208" s="91"/>
      <c r="AJ208" s="91"/>
      <c r="AK208" s="91"/>
      <c r="AL208" s="91"/>
      <c r="AM208" s="93"/>
      <c r="AN208" s="93"/>
      <c r="AO208" s="93"/>
      <c r="AP208" s="93"/>
      <c r="AQ208" s="93"/>
      <c r="AR208" s="97"/>
      <c r="AS208" s="97"/>
      <c r="AT208" s="98"/>
      <c r="AU208" s="98"/>
      <c r="AV208" s="98"/>
      <c r="AW208" s="98"/>
      <c r="AX208" s="98"/>
      <c r="AY208" s="98"/>
    </row>
    <row r="209" spans="1:51" ht="13.9" customHeight="1" x14ac:dyDescent="0.15">
      <c r="A209" s="10">
        <v>2024</v>
      </c>
      <c r="B209" s="10">
        <f t="shared" si="67"/>
        <v>9</v>
      </c>
      <c r="C209" s="67">
        <f t="shared" si="68"/>
        <v>45536</v>
      </c>
      <c r="D209" s="38">
        <f t="shared" si="62"/>
        <v>45552</v>
      </c>
      <c r="E209" s="37">
        <f t="shared" si="65"/>
        <v>45552</v>
      </c>
      <c r="F209" s="14" t="str">
        <f t="shared" si="66"/>
        <v>清水　正生</v>
      </c>
      <c r="H209" s="91"/>
      <c r="I209" s="91"/>
      <c r="J209" s="91"/>
      <c r="K209" s="91"/>
      <c r="L209" s="91"/>
      <c r="M209" s="91"/>
      <c r="N209" s="91"/>
      <c r="O209" s="106"/>
      <c r="P209" s="106"/>
      <c r="Q209" s="106"/>
      <c r="R209" s="106"/>
      <c r="S209" s="91"/>
      <c r="T209" s="91"/>
      <c r="U209" s="91"/>
      <c r="V209" s="91"/>
      <c r="W209" s="91"/>
      <c r="X209" s="106"/>
      <c r="Y209" s="91"/>
      <c r="Z209" s="91"/>
      <c r="AA209" s="91"/>
      <c r="AB209" s="91"/>
      <c r="AC209" s="91"/>
      <c r="AD209" s="91"/>
      <c r="AE209" s="91"/>
      <c r="AF209" s="91"/>
      <c r="AG209" s="91"/>
      <c r="AH209" s="91"/>
      <c r="AI209" s="91"/>
      <c r="AJ209" s="91">
        <v>1</v>
      </c>
      <c r="AK209" s="91"/>
      <c r="AL209" s="91"/>
      <c r="AM209" s="93"/>
      <c r="AN209" s="93"/>
      <c r="AO209" s="93"/>
      <c r="AP209" s="93"/>
      <c r="AQ209" s="93"/>
      <c r="AR209" s="97"/>
      <c r="AS209" s="97"/>
      <c r="AT209" s="98"/>
      <c r="AU209" s="98"/>
      <c r="AV209" s="98"/>
      <c r="AW209" s="98"/>
      <c r="AX209" s="98"/>
      <c r="AY209" s="98"/>
    </row>
    <row r="210" spans="1:51" ht="13.9" customHeight="1" x14ac:dyDescent="0.15">
      <c r="A210" s="10">
        <v>2024</v>
      </c>
      <c r="B210" s="10">
        <f t="shared" si="67"/>
        <v>9</v>
      </c>
      <c r="C210" s="67">
        <f t="shared" si="68"/>
        <v>45536</v>
      </c>
      <c r="D210" s="36">
        <f t="shared" si="63"/>
        <v>45560</v>
      </c>
      <c r="E210" s="37">
        <f t="shared" si="65"/>
        <v>45560</v>
      </c>
      <c r="F210" s="14" t="str">
        <f t="shared" si="66"/>
        <v>雨池　凌也</v>
      </c>
      <c r="H210" s="91"/>
      <c r="I210" s="91">
        <v>1</v>
      </c>
      <c r="J210" s="91"/>
      <c r="K210" s="91"/>
      <c r="L210" s="91"/>
      <c r="M210" s="91"/>
      <c r="N210" s="91"/>
      <c r="O210" s="106"/>
      <c r="P210" s="106"/>
      <c r="Q210" s="106"/>
      <c r="R210" s="106"/>
      <c r="S210" s="91"/>
      <c r="T210" s="91"/>
      <c r="U210" s="91"/>
      <c r="V210" s="91"/>
      <c r="W210" s="91"/>
      <c r="X210" s="106"/>
      <c r="Y210" s="91"/>
      <c r="Z210" s="91"/>
      <c r="AA210" s="91"/>
      <c r="AB210" s="91"/>
      <c r="AC210" s="91"/>
      <c r="AD210" s="91"/>
      <c r="AE210" s="91"/>
      <c r="AF210" s="91"/>
      <c r="AG210" s="91"/>
      <c r="AH210" s="91"/>
      <c r="AI210" s="91"/>
      <c r="AJ210" s="91"/>
      <c r="AK210" s="91"/>
      <c r="AL210" s="91"/>
      <c r="AM210" s="93"/>
      <c r="AN210" s="93"/>
      <c r="AO210" s="93"/>
      <c r="AP210" s="93"/>
      <c r="AQ210" s="93"/>
      <c r="AR210" s="97"/>
      <c r="AS210" s="97"/>
      <c r="AT210" s="98"/>
      <c r="AU210" s="98"/>
      <c r="AV210" s="98"/>
      <c r="AW210" s="98"/>
      <c r="AX210" s="98"/>
      <c r="AY210" s="98"/>
    </row>
    <row r="211" spans="1:51" ht="13.9" customHeight="1" x14ac:dyDescent="0.15">
      <c r="A211" s="10">
        <v>2024</v>
      </c>
      <c r="B211" s="10">
        <f t="shared" si="67"/>
        <v>10</v>
      </c>
      <c r="C211" s="67">
        <f t="shared" si="68"/>
        <v>45566</v>
      </c>
      <c r="D211" s="36">
        <f t="shared" ref="D211:D235" si="69">IF(WEEKDAY((DATE(A211,B211,1)))&gt;4,(7-(WEEKDAY((DATE(A211,B211,1)))-4))+(DATE(A211,B211,1)),4-WEEKDAY((DATE(A211,B211,1)))+(DATE(A211,B211,1)))+7</f>
        <v>45574</v>
      </c>
      <c r="E211" s="37">
        <f t="shared" si="65"/>
        <v>45574</v>
      </c>
      <c r="F211" s="14" t="str">
        <f t="shared" si="66"/>
        <v>田村 能之</v>
      </c>
      <c r="H211" s="91"/>
      <c r="I211" s="91"/>
      <c r="J211" s="91"/>
      <c r="K211" s="91"/>
      <c r="L211" s="91"/>
      <c r="M211" s="91"/>
      <c r="N211" s="91"/>
      <c r="O211" s="106"/>
      <c r="P211" s="106"/>
      <c r="Q211" s="106"/>
      <c r="R211" s="106"/>
      <c r="S211" s="91"/>
      <c r="T211" s="91"/>
      <c r="U211" s="91"/>
      <c r="V211" s="91"/>
      <c r="W211" s="91"/>
      <c r="X211" s="106"/>
      <c r="Y211" s="91"/>
      <c r="Z211" s="91"/>
      <c r="AA211" s="91">
        <v>1</v>
      </c>
      <c r="AB211" s="91"/>
      <c r="AC211" s="91"/>
      <c r="AD211" s="91"/>
      <c r="AE211" s="91"/>
      <c r="AF211" s="91"/>
      <c r="AG211" s="91"/>
      <c r="AH211" s="91"/>
      <c r="AI211" s="91"/>
      <c r="AJ211" s="91"/>
      <c r="AK211" s="91"/>
      <c r="AL211" s="91"/>
      <c r="AM211" s="93"/>
      <c r="AN211" s="93"/>
      <c r="AO211" s="93"/>
      <c r="AP211" s="93"/>
      <c r="AQ211" s="93"/>
      <c r="AR211" s="97"/>
      <c r="AS211" s="97"/>
      <c r="AT211" s="98"/>
      <c r="AU211" s="98"/>
      <c r="AV211" s="98"/>
      <c r="AW211" s="98"/>
      <c r="AX211" s="98"/>
      <c r="AY211" s="98"/>
    </row>
    <row r="212" spans="1:51" ht="13.9" customHeight="1" x14ac:dyDescent="0.15">
      <c r="A212" s="10">
        <v>2024</v>
      </c>
      <c r="B212" s="10">
        <f t="shared" si="67"/>
        <v>10</v>
      </c>
      <c r="C212" s="67">
        <f t="shared" si="68"/>
        <v>45566</v>
      </c>
      <c r="D212" s="38">
        <f t="shared" ref="D212:D236" si="70">IF(WEEKDAY(DATE(A212,B212,1))&gt;3,(7-(WEEKDAY(DATE(A212,B212,1))-3))+DATE(A212,B212,1),3-WEEKDAY(DATE(A212,B212,1))+DATE(A212,B212,1))+14</f>
        <v>45580</v>
      </c>
      <c r="E212" s="37">
        <f t="shared" si="65"/>
        <v>45580</v>
      </c>
      <c r="F212" s="14" t="str">
        <f t="shared" si="66"/>
        <v>西郡　健太</v>
      </c>
      <c r="H212" s="91"/>
      <c r="I212" s="91"/>
      <c r="J212" s="91"/>
      <c r="K212" s="91"/>
      <c r="L212" s="91"/>
      <c r="M212" s="91"/>
      <c r="N212" s="91"/>
      <c r="O212" s="106"/>
      <c r="P212" s="106"/>
      <c r="Q212" s="106"/>
      <c r="R212" s="106"/>
      <c r="S212" s="91"/>
      <c r="T212" s="91"/>
      <c r="U212" s="91"/>
      <c r="V212" s="91"/>
      <c r="W212" s="91"/>
      <c r="X212" s="106"/>
      <c r="Y212" s="91"/>
      <c r="Z212" s="91"/>
      <c r="AA212" s="91"/>
      <c r="AB212" s="91"/>
      <c r="AC212" s="91"/>
      <c r="AD212" s="91"/>
      <c r="AE212" s="91"/>
      <c r="AF212" s="91"/>
      <c r="AG212" s="91"/>
      <c r="AH212" s="91"/>
      <c r="AI212" s="91">
        <v>1</v>
      </c>
      <c r="AJ212" s="91"/>
      <c r="AK212" s="91"/>
      <c r="AL212" s="91"/>
      <c r="AM212" s="93"/>
      <c r="AN212" s="93"/>
      <c r="AO212" s="93"/>
      <c r="AP212" s="93"/>
      <c r="AQ212" s="93"/>
      <c r="AR212" s="97"/>
      <c r="AS212" s="97"/>
      <c r="AT212" s="98"/>
      <c r="AU212" s="98"/>
      <c r="AV212" s="98"/>
      <c r="AW212" s="98"/>
      <c r="AX212" s="98"/>
      <c r="AY212" s="98"/>
    </row>
    <row r="213" spans="1:51" ht="13.9" customHeight="1" x14ac:dyDescent="0.15">
      <c r="A213" s="10">
        <v>2024</v>
      </c>
      <c r="B213" s="10">
        <f t="shared" si="67"/>
        <v>10</v>
      </c>
      <c r="C213" s="67">
        <f t="shared" si="68"/>
        <v>45566</v>
      </c>
      <c r="D213" s="36">
        <f t="shared" ref="D213:D237" si="71">IF(WEEKDAY((DATE(A211,B211,1)))&gt;4,(7-(WEEKDAY((DATE(A211,B211,1)))-4))+(DATE(A211,B211,1)),4-WEEKDAY((DATE(A211,B211,1)))+(DATE(A211,B211,1)))+21</f>
        <v>45588</v>
      </c>
      <c r="E213" s="37">
        <f t="shared" si="65"/>
        <v>45588</v>
      </c>
      <c r="F213" s="14" t="str">
        <f t="shared" si="66"/>
        <v>諸田　悠也</v>
      </c>
      <c r="H213" s="91"/>
      <c r="I213" s="91"/>
      <c r="J213" s="91"/>
      <c r="K213" s="91"/>
      <c r="L213" s="91"/>
      <c r="M213" s="91"/>
      <c r="N213" s="91"/>
      <c r="O213" s="106"/>
      <c r="P213" s="106"/>
      <c r="Q213" s="106"/>
      <c r="R213" s="106"/>
      <c r="S213" s="91"/>
      <c r="T213" s="91"/>
      <c r="U213" s="91"/>
      <c r="V213" s="91"/>
      <c r="W213" s="91"/>
      <c r="X213" s="106"/>
      <c r="Y213" s="91"/>
      <c r="Z213" s="91"/>
      <c r="AA213" s="91"/>
      <c r="AB213" s="91"/>
      <c r="AC213" s="91"/>
      <c r="AD213" s="91"/>
      <c r="AE213" s="91"/>
      <c r="AF213" s="91"/>
      <c r="AG213" s="91"/>
      <c r="AH213" s="91"/>
      <c r="AI213" s="91"/>
      <c r="AJ213" s="91"/>
      <c r="AK213" s="91">
        <v>1</v>
      </c>
      <c r="AL213" s="91"/>
      <c r="AM213" s="93"/>
      <c r="AN213" s="93"/>
      <c r="AO213" s="93"/>
      <c r="AP213" s="93"/>
      <c r="AQ213" s="93"/>
      <c r="AR213" s="97"/>
      <c r="AS213" s="97"/>
      <c r="AT213" s="98"/>
      <c r="AU213" s="98"/>
      <c r="AV213" s="98"/>
      <c r="AW213" s="98"/>
      <c r="AX213" s="98"/>
      <c r="AY213" s="98"/>
    </row>
    <row r="214" spans="1:51" ht="13.9" customHeight="1" x14ac:dyDescent="0.15">
      <c r="A214" s="10">
        <v>2024</v>
      </c>
      <c r="B214" s="10">
        <f t="shared" si="67"/>
        <v>11</v>
      </c>
      <c r="C214" s="67">
        <f t="shared" si="68"/>
        <v>45597</v>
      </c>
      <c r="D214" s="36">
        <f t="shared" si="69"/>
        <v>45609</v>
      </c>
      <c r="E214" s="37">
        <f t="shared" si="65"/>
        <v>45609</v>
      </c>
      <c r="F214" s="14" t="str">
        <f t="shared" si="66"/>
        <v>中川　大誠</v>
      </c>
      <c r="H214" s="91"/>
      <c r="I214" s="91"/>
      <c r="J214" s="91"/>
      <c r="K214" s="91"/>
      <c r="L214" s="91"/>
      <c r="M214" s="91"/>
      <c r="N214" s="91"/>
      <c r="O214" s="106"/>
      <c r="P214" s="106"/>
      <c r="Q214" s="106"/>
      <c r="R214" s="106"/>
      <c r="S214" s="91"/>
      <c r="T214" s="91"/>
      <c r="U214" s="91"/>
      <c r="V214" s="91"/>
      <c r="W214" s="91"/>
      <c r="X214" s="106"/>
      <c r="Y214" s="91"/>
      <c r="Z214" s="91"/>
      <c r="AA214" s="91"/>
      <c r="AB214" s="91"/>
      <c r="AC214" s="91"/>
      <c r="AD214" s="91"/>
      <c r="AE214" s="91"/>
      <c r="AF214" s="91">
        <v>1</v>
      </c>
      <c r="AG214" s="91"/>
      <c r="AH214" s="91"/>
      <c r="AI214" s="91"/>
      <c r="AJ214" s="91"/>
      <c r="AK214" s="91"/>
      <c r="AL214" s="91"/>
      <c r="AM214" s="93"/>
      <c r="AN214" s="93"/>
      <c r="AO214" s="93"/>
      <c r="AP214" s="93"/>
      <c r="AQ214" s="93"/>
      <c r="AR214" s="97"/>
      <c r="AS214" s="97"/>
      <c r="AT214" s="98"/>
      <c r="AU214" s="98"/>
      <c r="AV214" s="98"/>
      <c r="AW214" s="98"/>
      <c r="AX214" s="98"/>
      <c r="AY214" s="98"/>
    </row>
    <row r="215" spans="1:51" ht="13.9" customHeight="1" x14ac:dyDescent="0.15">
      <c r="A215" s="10">
        <v>2024</v>
      </c>
      <c r="B215" s="10">
        <f t="shared" si="67"/>
        <v>11</v>
      </c>
      <c r="C215" s="67">
        <f t="shared" si="68"/>
        <v>45597</v>
      </c>
      <c r="D215" s="38">
        <f t="shared" si="70"/>
        <v>45615</v>
      </c>
      <c r="E215" s="37">
        <f t="shared" si="65"/>
        <v>45615</v>
      </c>
      <c r="F215" s="14" t="str">
        <f t="shared" si="66"/>
        <v>林 亮子</v>
      </c>
      <c r="H215" s="91"/>
      <c r="I215" s="91"/>
      <c r="J215" s="91"/>
      <c r="K215" s="91"/>
      <c r="L215" s="91"/>
      <c r="M215" s="91"/>
      <c r="N215" s="91"/>
      <c r="O215" s="106"/>
      <c r="P215" s="106"/>
      <c r="Q215" s="106"/>
      <c r="R215" s="106"/>
      <c r="S215" s="91"/>
      <c r="T215" s="91"/>
      <c r="U215" s="91"/>
      <c r="V215" s="91"/>
      <c r="W215" s="91"/>
      <c r="X215" s="106"/>
      <c r="Y215" s="91">
        <v>1</v>
      </c>
      <c r="Z215" s="91"/>
      <c r="AA215" s="91"/>
      <c r="AB215" s="91"/>
      <c r="AC215" s="91"/>
      <c r="AD215" s="91"/>
      <c r="AE215" s="91"/>
      <c r="AF215" s="91"/>
      <c r="AG215" s="91"/>
      <c r="AH215" s="91"/>
      <c r="AI215" s="91"/>
      <c r="AJ215" s="91"/>
      <c r="AK215" s="91"/>
      <c r="AL215" s="91"/>
      <c r="AM215" s="93"/>
      <c r="AN215" s="93"/>
      <c r="AO215" s="93"/>
      <c r="AP215" s="93"/>
      <c r="AQ215" s="93"/>
      <c r="AR215" s="97"/>
      <c r="AS215" s="97"/>
      <c r="AT215" s="98"/>
      <c r="AU215" s="98"/>
      <c r="AV215" s="98"/>
      <c r="AW215" s="98"/>
      <c r="AX215" s="98"/>
      <c r="AY215" s="98"/>
    </row>
    <row r="216" spans="1:51" ht="13.9" customHeight="1" x14ac:dyDescent="0.15">
      <c r="A216" s="10">
        <v>2024</v>
      </c>
      <c r="B216" s="10">
        <f t="shared" si="67"/>
        <v>11</v>
      </c>
      <c r="C216" s="67">
        <f t="shared" si="68"/>
        <v>45597</v>
      </c>
      <c r="D216" s="36">
        <f t="shared" si="71"/>
        <v>45623</v>
      </c>
      <c r="E216" s="37">
        <f t="shared" si="65"/>
        <v>45623</v>
      </c>
      <c r="F216" s="14" t="str">
        <f t="shared" si="66"/>
        <v>菅野　祐萌</v>
      </c>
      <c r="H216" s="91"/>
      <c r="I216" s="91"/>
      <c r="J216" s="91"/>
      <c r="K216" s="91"/>
      <c r="L216" s="91"/>
      <c r="M216" s="91"/>
      <c r="N216" s="91"/>
      <c r="O216" s="106"/>
      <c r="P216" s="106"/>
      <c r="Q216" s="106"/>
      <c r="R216" s="106"/>
      <c r="S216" s="91">
        <v>1</v>
      </c>
      <c r="T216" s="91"/>
      <c r="U216" s="91"/>
      <c r="V216" s="91"/>
      <c r="W216" s="91"/>
      <c r="X216" s="106"/>
      <c r="Y216" s="91"/>
      <c r="Z216" s="91"/>
      <c r="AA216" s="91"/>
      <c r="AB216" s="91"/>
      <c r="AC216" s="91"/>
      <c r="AD216" s="91"/>
      <c r="AE216" s="91"/>
      <c r="AF216" s="91"/>
      <c r="AG216" s="91"/>
      <c r="AH216" s="91"/>
      <c r="AI216" s="91"/>
      <c r="AJ216" s="91"/>
      <c r="AK216" s="91"/>
      <c r="AL216" s="91"/>
      <c r="AM216" s="93"/>
      <c r="AN216" s="93"/>
      <c r="AO216" s="93"/>
      <c r="AP216" s="93"/>
      <c r="AQ216" s="93"/>
      <c r="AR216" s="97"/>
      <c r="AS216" s="97"/>
      <c r="AT216" s="98"/>
      <c r="AU216" s="98"/>
      <c r="AV216" s="98"/>
      <c r="AW216" s="98"/>
      <c r="AX216" s="98"/>
      <c r="AY216" s="98"/>
    </row>
    <row r="217" spans="1:51" ht="13.9" customHeight="1" x14ac:dyDescent="0.15">
      <c r="A217" s="10">
        <v>2024</v>
      </c>
      <c r="B217" s="10">
        <f t="shared" si="67"/>
        <v>12</v>
      </c>
      <c r="C217" s="67">
        <f t="shared" si="68"/>
        <v>45627</v>
      </c>
      <c r="D217" s="36">
        <f t="shared" si="69"/>
        <v>45637</v>
      </c>
      <c r="E217" s="37">
        <f t="shared" si="65"/>
        <v>45637</v>
      </c>
      <c r="F217" s="14" t="str">
        <f t="shared" si="66"/>
        <v>庵　緋沙子</v>
      </c>
      <c r="H217" s="91"/>
      <c r="I217" s="91"/>
      <c r="J217" s="91"/>
      <c r="K217" s="91"/>
      <c r="L217" s="91"/>
      <c r="M217" s="91"/>
      <c r="N217" s="91"/>
      <c r="O217" s="106"/>
      <c r="P217" s="106"/>
      <c r="Q217" s="106"/>
      <c r="R217" s="106"/>
      <c r="S217" s="91"/>
      <c r="T217" s="91"/>
      <c r="U217" s="91"/>
      <c r="V217" s="91"/>
      <c r="W217" s="91"/>
      <c r="X217" s="106"/>
      <c r="Y217" s="91"/>
      <c r="Z217" s="91"/>
      <c r="AA217" s="91"/>
      <c r="AB217" s="91"/>
      <c r="AC217" s="91"/>
      <c r="AD217" s="91"/>
      <c r="AE217" s="91"/>
      <c r="AF217" s="91"/>
      <c r="AG217" s="91"/>
      <c r="AH217" s="91"/>
      <c r="AI217" s="91"/>
      <c r="AJ217" s="91"/>
      <c r="AK217" s="91"/>
      <c r="AL217" s="91">
        <v>1</v>
      </c>
      <c r="AM217" s="93"/>
      <c r="AN217" s="93"/>
      <c r="AO217" s="93"/>
      <c r="AP217" s="93"/>
      <c r="AQ217" s="93"/>
      <c r="AR217" s="97"/>
      <c r="AS217" s="97"/>
      <c r="AT217" s="98"/>
      <c r="AU217" s="98"/>
      <c r="AV217" s="98"/>
      <c r="AW217" s="98"/>
      <c r="AX217" s="98"/>
      <c r="AY217" s="98"/>
    </row>
    <row r="218" spans="1:51" ht="13.9" customHeight="1" x14ac:dyDescent="0.15">
      <c r="A218" s="10">
        <v>2024</v>
      </c>
      <c r="B218" s="10">
        <f t="shared" si="67"/>
        <v>12</v>
      </c>
      <c r="C218" s="67">
        <f t="shared" si="68"/>
        <v>45627</v>
      </c>
      <c r="D218" s="38">
        <f t="shared" si="70"/>
        <v>45643</v>
      </c>
      <c r="E218" s="37">
        <f t="shared" si="65"/>
        <v>45643</v>
      </c>
      <c r="F218" s="14" t="str">
        <f t="shared" si="66"/>
        <v>樫田　尚</v>
      </c>
      <c r="H218" s="91"/>
      <c r="I218" s="91"/>
      <c r="J218" s="91">
        <v>1</v>
      </c>
      <c r="K218" s="91"/>
      <c r="L218" s="91"/>
      <c r="M218" s="91"/>
      <c r="N218" s="91"/>
      <c r="O218" s="106"/>
      <c r="P218" s="106"/>
      <c r="Q218" s="106"/>
      <c r="R218" s="106"/>
      <c r="S218" s="91"/>
      <c r="T218" s="91"/>
      <c r="U218" s="91"/>
      <c r="V218" s="91"/>
      <c r="W218" s="91"/>
      <c r="X218" s="106"/>
      <c r="Y218" s="91"/>
      <c r="Z218" s="91"/>
      <c r="AA218" s="91"/>
      <c r="AB218" s="91"/>
      <c r="AC218" s="91"/>
      <c r="AD218" s="91"/>
      <c r="AE218" s="91"/>
      <c r="AF218" s="91"/>
      <c r="AG218" s="91"/>
      <c r="AH218" s="91"/>
      <c r="AI218" s="91"/>
      <c r="AJ218" s="91"/>
      <c r="AK218" s="91"/>
      <c r="AL218" s="91"/>
      <c r="AM218" s="93"/>
      <c r="AN218" s="93"/>
      <c r="AO218" s="93"/>
      <c r="AP218" s="93"/>
      <c r="AQ218" s="93"/>
      <c r="AR218" s="97"/>
      <c r="AS218" s="97"/>
      <c r="AT218" s="98"/>
      <c r="AU218" s="98"/>
      <c r="AV218" s="98"/>
      <c r="AW218" s="98"/>
      <c r="AX218" s="98"/>
      <c r="AY218" s="98"/>
    </row>
    <row r="219" spans="1:51" ht="13.9" customHeight="1" x14ac:dyDescent="0.15">
      <c r="A219" s="10">
        <v>2024</v>
      </c>
      <c r="B219" s="10">
        <f t="shared" si="67"/>
        <v>12</v>
      </c>
      <c r="C219" s="67">
        <f t="shared" si="68"/>
        <v>45627</v>
      </c>
      <c r="D219" s="36">
        <f t="shared" si="71"/>
        <v>45651</v>
      </c>
      <c r="E219" s="37">
        <f t="shared" si="65"/>
        <v>45651</v>
      </c>
      <c r="F219" s="14" t="str">
        <f t="shared" si="66"/>
        <v>袋　隼哉</v>
      </c>
      <c r="H219" s="91"/>
      <c r="I219" s="91"/>
      <c r="J219" s="91"/>
      <c r="K219" s="91"/>
      <c r="L219" s="91"/>
      <c r="M219" s="91"/>
      <c r="N219" s="91"/>
      <c r="O219" s="106"/>
      <c r="P219" s="106"/>
      <c r="Q219" s="106"/>
      <c r="R219" s="106"/>
      <c r="S219" s="91"/>
      <c r="T219" s="91">
        <v>1</v>
      </c>
      <c r="U219" s="91"/>
      <c r="V219" s="91"/>
      <c r="W219" s="91"/>
      <c r="X219" s="106"/>
      <c r="Y219" s="91"/>
      <c r="Z219" s="91"/>
      <c r="AA219" s="91"/>
      <c r="AB219" s="91"/>
      <c r="AC219" s="91"/>
      <c r="AD219" s="91"/>
      <c r="AE219" s="91"/>
      <c r="AF219" s="91"/>
      <c r="AG219" s="91"/>
      <c r="AH219" s="91"/>
      <c r="AI219" s="91"/>
      <c r="AJ219" s="91"/>
      <c r="AK219" s="91"/>
      <c r="AL219" s="91"/>
      <c r="AM219" s="93"/>
      <c r="AN219" s="93"/>
      <c r="AO219" s="93"/>
      <c r="AP219" s="93"/>
      <c r="AQ219" s="93"/>
      <c r="AR219" s="97"/>
      <c r="AS219" s="97"/>
      <c r="AT219" s="98"/>
      <c r="AU219" s="98"/>
      <c r="AV219" s="98"/>
      <c r="AW219" s="98"/>
      <c r="AX219" s="98"/>
      <c r="AY219" s="98"/>
    </row>
    <row r="220" spans="1:51" ht="13.9" customHeight="1" x14ac:dyDescent="0.15">
      <c r="A220" s="10">
        <v>2025</v>
      </c>
      <c r="B220" s="10">
        <f t="shared" si="67"/>
        <v>1</v>
      </c>
      <c r="C220" s="67">
        <f t="shared" si="68"/>
        <v>45658</v>
      </c>
      <c r="D220" s="36">
        <f t="shared" si="69"/>
        <v>45665</v>
      </c>
      <c r="E220" s="37">
        <f t="shared" si="65"/>
        <v>45665</v>
      </c>
      <c r="F220" s="14" t="str">
        <f t="shared" si="66"/>
        <v>中川　大誠</v>
      </c>
      <c r="H220" s="91"/>
      <c r="I220" s="91"/>
      <c r="J220" s="91"/>
      <c r="K220" s="91"/>
      <c r="L220" s="91"/>
      <c r="M220" s="91"/>
      <c r="N220" s="91"/>
      <c r="O220" s="106"/>
      <c r="P220" s="106"/>
      <c r="Q220" s="106"/>
      <c r="R220" s="106"/>
      <c r="S220" s="91"/>
      <c r="T220" s="91"/>
      <c r="U220" s="91"/>
      <c r="V220" s="91"/>
      <c r="W220" s="91"/>
      <c r="X220" s="106"/>
      <c r="Y220" s="91"/>
      <c r="Z220" s="91"/>
      <c r="AA220" s="91"/>
      <c r="AB220" s="91"/>
      <c r="AC220" s="91"/>
      <c r="AD220" s="91"/>
      <c r="AE220" s="91"/>
      <c r="AF220" s="91">
        <v>1</v>
      </c>
      <c r="AG220" s="91"/>
      <c r="AH220" s="91"/>
      <c r="AI220" s="91"/>
      <c r="AJ220" s="91"/>
      <c r="AK220" s="91"/>
      <c r="AL220" s="91"/>
      <c r="AM220" s="93"/>
      <c r="AN220" s="93"/>
      <c r="AO220" s="93"/>
      <c r="AP220" s="93"/>
      <c r="AQ220" s="93"/>
      <c r="AR220" s="97"/>
      <c r="AS220" s="97"/>
      <c r="AT220" s="98"/>
      <c r="AU220" s="98"/>
      <c r="AV220" s="98"/>
      <c r="AW220" s="98"/>
      <c r="AX220" s="98"/>
      <c r="AY220" s="98"/>
    </row>
    <row r="221" spans="1:51" ht="13.9" customHeight="1" x14ac:dyDescent="0.15">
      <c r="A221" s="10">
        <v>2025</v>
      </c>
      <c r="B221" s="10">
        <f t="shared" si="67"/>
        <v>1</v>
      </c>
      <c r="C221" s="67">
        <f t="shared" si="68"/>
        <v>45658</v>
      </c>
      <c r="D221" s="38">
        <f t="shared" si="70"/>
        <v>45678</v>
      </c>
      <c r="E221" s="37">
        <f t="shared" si="65"/>
        <v>45678</v>
      </c>
      <c r="F221" s="14" t="str">
        <f t="shared" si="66"/>
        <v>南 博之</v>
      </c>
      <c r="H221" s="91"/>
      <c r="I221" s="91"/>
      <c r="J221" s="91"/>
      <c r="K221" s="91"/>
      <c r="L221" s="91"/>
      <c r="M221" s="91"/>
      <c r="N221" s="91"/>
      <c r="O221" s="106"/>
      <c r="P221" s="106"/>
      <c r="Q221" s="106">
        <v>1</v>
      </c>
      <c r="R221" s="106"/>
      <c r="S221" s="91"/>
      <c r="T221" s="91"/>
      <c r="U221" s="91"/>
      <c r="V221" s="91"/>
      <c r="W221" s="91"/>
      <c r="X221" s="106"/>
      <c r="Y221" s="91"/>
      <c r="Z221" s="91"/>
      <c r="AA221" s="91"/>
      <c r="AB221" s="91"/>
      <c r="AC221" s="91"/>
      <c r="AD221" s="91"/>
      <c r="AE221" s="91"/>
      <c r="AF221" s="91"/>
      <c r="AG221" s="91"/>
      <c r="AH221" s="91"/>
      <c r="AI221" s="91"/>
      <c r="AJ221" s="91"/>
      <c r="AK221" s="91"/>
      <c r="AL221" s="91"/>
      <c r="AM221" s="93"/>
      <c r="AN221" s="93"/>
      <c r="AO221" s="93"/>
      <c r="AP221" s="93"/>
      <c r="AQ221" s="93"/>
      <c r="AR221" s="97"/>
      <c r="AS221" s="97"/>
      <c r="AT221" s="98"/>
      <c r="AU221" s="98"/>
      <c r="AV221" s="98"/>
      <c r="AW221" s="98"/>
      <c r="AX221" s="98"/>
      <c r="AY221" s="98"/>
    </row>
    <row r="222" spans="1:51" ht="13.9" customHeight="1" x14ac:dyDescent="0.15">
      <c r="A222" s="10">
        <v>2025</v>
      </c>
      <c r="B222" s="10">
        <f t="shared" si="67"/>
        <v>1</v>
      </c>
      <c r="C222" s="67">
        <f t="shared" si="68"/>
        <v>45658</v>
      </c>
      <c r="D222" s="36">
        <f t="shared" si="71"/>
        <v>45679</v>
      </c>
      <c r="E222" s="37">
        <f t="shared" si="65"/>
        <v>45679</v>
      </c>
      <c r="F222" s="14" t="str">
        <f t="shared" si="66"/>
        <v>小川 穂波</v>
      </c>
      <c r="H222" s="91"/>
      <c r="I222" s="91"/>
      <c r="J222" s="91"/>
      <c r="K222" s="91"/>
      <c r="L222" s="91"/>
      <c r="M222" s="91"/>
      <c r="N222" s="91"/>
      <c r="O222" s="106"/>
      <c r="P222" s="106"/>
      <c r="Q222" s="106"/>
      <c r="R222" s="106"/>
      <c r="S222" s="91"/>
      <c r="T222" s="91"/>
      <c r="U222" s="91"/>
      <c r="V222" s="91"/>
      <c r="W222" s="91"/>
      <c r="X222" s="106"/>
      <c r="Y222" s="91"/>
      <c r="Z222" s="91"/>
      <c r="AA222" s="91"/>
      <c r="AB222" s="91"/>
      <c r="AC222" s="91"/>
      <c r="AD222" s="91"/>
      <c r="AE222" s="91"/>
      <c r="AF222" s="91"/>
      <c r="AG222" s="91"/>
      <c r="AH222" s="91">
        <v>1</v>
      </c>
      <c r="AI222" s="91"/>
      <c r="AJ222" s="91"/>
      <c r="AK222" s="91"/>
      <c r="AL222" s="91"/>
      <c r="AM222" s="93"/>
      <c r="AN222" s="93"/>
      <c r="AO222" s="93"/>
      <c r="AP222" s="93"/>
      <c r="AQ222" s="93"/>
      <c r="AR222" s="97"/>
      <c r="AS222" s="97"/>
      <c r="AT222" s="98"/>
      <c r="AU222" s="98"/>
      <c r="AV222" s="98"/>
      <c r="AW222" s="98"/>
      <c r="AX222" s="98"/>
      <c r="AY222" s="98"/>
    </row>
    <row r="223" spans="1:51" ht="13.9" customHeight="1" x14ac:dyDescent="0.15">
      <c r="A223" s="10">
        <v>2025</v>
      </c>
      <c r="B223" s="10">
        <f t="shared" si="67"/>
        <v>2</v>
      </c>
      <c r="C223" s="67">
        <f t="shared" si="68"/>
        <v>45689</v>
      </c>
      <c r="D223" s="36">
        <f t="shared" si="69"/>
        <v>45700</v>
      </c>
      <c r="E223" s="37">
        <f t="shared" ref="E223:E237" si="72">D223</f>
        <v>45700</v>
      </c>
      <c r="F223" s="14" t="str">
        <f t="shared" ref="F223:F237" si="73">IFERROR(INDEX($H$1:$AN$1,1,MATCH(1,H223:AN223)),"")</f>
        <v>薬司 康平</v>
      </c>
      <c r="H223" s="91"/>
      <c r="I223" s="91"/>
      <c r="J223" s="91"/>
      <c r="K223" s="91"/>
      <c r="L223" s="91"/>
      <c r="M223" s="91"/>
      <c r="N223" s="91"/>
      <c r="O223" s="106"/>
      <c r="P223" s="106"/>
      <c r="Q223" s="106"/>
      <c r="R223" s="106"/>
      <c r="S223" s="91"/>
      <c r="T223" s="91"/>
      <c r="U223" s="91"/>
      <c r="V223" s="91"/>
      <c r="W223" s="91"/>
      <c r="X223" s="106"/>
      <c r="Y223" s="91"/>
      <c r="Z223" s="91"/>
      <c r="AA223" s="91"/>
      <c r="AB223" s="91"/>
      <c r="AC223" s="91"/>
      <c r="AD223" s="91"/>
      <c r="AE223" s="91"/>
      <c r="AF223" s="91"/>
      <c r="AG223" s="91">
        <v>1</v>
      </c>
      <c r="AH223" s="91"/>
      <c r="AI223" s="91"/>
      <c r="AJ223" s="91"/>
      <c r="AK223" s="91"/>
      <c r="AL223" s="91"/>
      <c r="AM223" s="93"/>
      <c r="AN223" s="93"/>
      <c r="AO223" s="93"/>
      <c r="AP223" s="93"/>
      <c r="AQ223" s="93"/>
      <c r="AR223" s="97"/>
      <c r="AS223" s="97"/>
      <c r="AT223" s="98"/>
      <c r="AU223" s="98"/>
      <c r="AV223" s="98"/>
      <c r="AW223" s="98"/>
      <c r="AX223" s="98"/>
      <c r="AY223" s="98"/>
    </row>
    <row r="224" spans="1:51" ht="13.9" customHeight="1" x14ac:dyDescent="0.15">
      <c r="A224" s="10">
        <v>2025</v>
      </c>
      <c r="B224" s="10">
        <f t="shared" si="67"/>
        <v>2</v>
      </c>
      <c r="C224" s="67">
        <f t="shared" si="68"/>
        <v>45689</v>
      </c>
      <c r="D224" s="38">
        <f t="shared" si="70"/>
        <v>45706</v>
      </c>
      <c r="E224" s="37">
        <f t="shared" si="72"/>
        <v>45706</v>
      </c>
      <c r="F224" s="14" t="str">
        <f t="shared" si="73"/>
        <v>清水　正生</v>
      </c>
      <c r="H224" s="91"/>
      <c r="I224" s="91"/>
      <c r="J224" s="91"/>
      <c r="K224" s="91"/>
      <c r="L224" s="91"/>
      <c r="M224" s="91"/>
      <c r="N224" s="91"/>
      <c r="O224" s="106"/>
      <c r="P224" s="106"/>
      <c r="Q224" s="106"/>
      <c r="R224" s="106"/>
      <c r="S224" s="91"/>
      <c r="T224" s="91"/>
      <c r="U224" s="91"/>
      <c r="V224" s="91"/>
      <c r="W224" s="91"/>
      <c r="X224" s="106"/>
      <c r="Y224" s="91"/>
      <c r="Z224" s="91"/>
      <c r="AA224" s="91"/>
      <c r="AB224" s="91"/>
      <c r="AC224" s="91"/>
      <c r="AD224" s="91"/>
      <c r="AE224" s="91"/>
      <c r="AF224" s="91"/>
      <c r="AG224" s="91"/>
      <c r="AH224" s="91"/>
      <c r="AI224" s="91"/>
      <c r="AJ224" s="91">
        <v>1</v>
      </c>
      <c r="AK224" s="91"/>
      <c r="AL224" s="91"/>
      <c r="AM224" s="93"/>
      <c r="AN224" s="93"/>
      <c r="AO224" s="93"/>
      <c r="AP224" s="93"/>
      <c r="AQ224" s="93"/>
      <c r="AR224" s="97"/>
      <c r="AS224" s="97"/>
      <c r="AT224" s="98"/>
      <c r="AU224" s="98"/>
      <c r="AV224" s="98"/>
      <c r="AW224" s="98"/>
      <c r="AX224" s="98"/>
      <c r="AY224" s="98"/>
    </row>
    <row r="225" spans="1:51" ht="13.9" customHeight="1" x14ac:dyDescent="0.15">
      <c r="A225" s="10">
        <v>2025</v>
      </c>
      <c r="B225" s="10">
        <f t="shared" si="67"/>
        <v>2</v>
      </c>
      <c r="C225" s="67">
        <f t="shared" si="68"/>
        <v>45689</v>
      </c>
      <c r="D225" s="36">
        <f t="shared" si="71"/>
        <v>45714</v>
      </c>
      <c r="E225" s="37">
        <f t="shared" si="72"/>
        <v>45714</v>
      </c>
      <c r="F225" s="14" t="str">
        <f t="shared" si="73"/>
        <v>長田 弘二</v>
      </c>
      <c r="H225" s="91"/>
      <c r="I225" s="91"/>
      <c r="J225" s="91"/>
      <c r="K225" s="91"/>
      <c r="L225" s="91"/>
      <c r="M225" s="91"/>
      <c r="N225" s="91"/>
      <c r="O225" s="106"/>
      <c r="P225" s="106"/>
      <c r="Q225" s="106"/>
      <c r="R225" s="106"/>
      <c r="S225" s="91"/>
      <c r="T225" s="91"/>
      <c r="U225" s="91"/>
      <c r="V225" s="91">
        <v>1</v>
      </c>
      <c r="W225" s="91"/>
      <c r="X225" s="106"/>
      <c r="Y225" s="91"/>
      <c r="Z225" s="91"/>
      <c r="AA225" s="91"/>
      <c r="AB225" s="91"/>
      <c r="AC225" s="91"/>
      <c r="AD225" s="91"/>
      <c r="AE225" s="91"/>
      <c r="AF225" s="91"/>
      <c r="AG225" s="91"/>
      <c r="AH225" s="91"/>
      <c r="AI225" s="91"/>
      <c r="AJ225" s="91"/>
      <c r="AK225" s="91"/>
      <c r="AL225" s="91"/>
      <c r="AM225" s="93"/>
      <c r="AN225" s="93"/>
      <c r="AO225" s="93"/>
      <c r="AP225" s="93"/>
      <c r="AQ225" s="93"/>
      <c r="AR225" s="97"/>
      <c r="AS225" s="97"/>
      <c r="AT225" s="98"/>
      <c r="AU225" s="98"/>
      <c r="AV225" s="98"/>
      <c r="AW225" s="98"/>
      <c r="AX225" s="98"/>
      <c r="AY225" s="98"/>
    </row>
    <row r="226" spans="1:51" ht="13.9" customHeight="1" x14ac:dyDescent="0.15">
      <c r="A226" s="10">
        <v>2025</v>
      </c>
      <c r="B226" s="10">
        <f t="shared" si="67"/>
        <v>3</v>
      </c>
      <c r="C226" s="67">
        <f t="shared" si="68"/>
        <v>45717</v>
      </c>
      <c r="D226" s="36">
        <f t="shared" si="69"/>
        <v>45728</v>
      </c>
      <c r="E226" s="37">
        <f t="shared" si="72"/>
        <v>45728</v>
      </c>
      <c r="F226" s="14" t="str">
        <f t="shared" si="73"/>
        <v>田村 能之</v>
      </c>
      <c r="H226" s="91"/>
      <c r="I226" s="91"/>
      <c r="J226" s="91"/>
      <c r="K226" s="91"/>
      <c r="L226" s="91"/>
      <c r="M226" s="91"/>
      <c r="N226" s="91"/>
      <c r="O226" s="106"/>
      <c r="P226" s="106"/>
      <c r="Q226" s="106"/>
      <c r="R226" s="106"/>
      <c r="S226" s="91"/>
      <c r="T226" s="91"/>
      <c r="U226" s="91"/>
      <c r="V226" s="91"/>
      <c r="W226" s="91"/>
      <c r="X226" s="106"/>
      <c r="Y226" s="91"/>
      <c r="Z226" s="91"/>
      <c r="AA226" s="91">
        <v>1</v>
      </c>
      <c r="AB226" s="91"/>
      <c r="AC226" s="91"/>
      <c r="AD226" s="91"/>
      <c r="AE226" s="91"/>
      <c r="AF226" s="91"/>
      <c r="AG226" s="91"/>
      <c r="AH226" s="91"/>
      <c r="AI226" s="91"/>
      <c r="AJ226" s="91"/>
      <c r="AK226" s="91"/>
      <c r="AL226" s="91"/>
      <c r="AM226" s="93"/>
      <c r="AN226" s="93"/>
      <c r="AO226" s="93"/>
      <c r="AP226" s="93"/>
      <c r="AQ226" s="93"/>
      <c r="AR226" s="97"/>
      <c r="AS226" s="97"/>
      <c r="AT226" s="98"/>
      <c r="AU226" s="98"/>
      <c r="AV226" s="98"/>
      <c r="AW226" s="98"/>
      <c r="AX226" s="98"/>
      <c r="AY226" s="98"/>
    </row>
    <row r="227" spans="1:51" ht="13.9" customHeight="1" x14ac:dyDescent="0.15">
      <c r="A227" s="10">
        <v>2025</v>
      </c>
      <c r="B227" s="10">
        <f t="shared" si="67"/>
        <v>3</v>
      </c>
      <c r="C227" s="67">
        <f t="shared" si="68"/>
        <v>45717</v>
      </c>
      <c r="D227" s="38">
        <f t="shared" si="70"/>
        <v>45734</v>
      </c>
      <c r="E227" s="37">
        <f t="shared" si="72"/>
        <v>45734</v>
      </c>
      <c r="F227" s="14" t="str">
        <f t="shared" si="73"/>
        <v>片岡 恵梨子</v>
      </c>
      <c r="H227" s="91"/>
      <c r="I227" s="91"/>
      <c r="J227" s="91"/>
      <c r="K227" s="91"/>
      <c r="L227" s="91"/>
      <c r="M227" s="91"/>
      <c r="N227" s="91"/>
      <c r="O227" s="106"/>
      <c r="P227" s="106"/>
      <c r="Q227" s="106"/>
      <c r="R227" s="106"/>
      <c r="S227" s="91"/>
      <c r="T227" s="91"/>
      <c r="U227" s="91"/>
      <c r="V227" s="91"/>
      <c r="W227" s="91"/>
      <c r="X227" s="106"/>
      <c r="Y227" s="91"/>
      <c r="Z227" s="91"/>
      <c r="AA227" s="91"/>
      <c r="AB227" s="91"/>
      <c r="AC227" s="91">
        <v>1</v>
      </c>
      <c r="AD227" s="91"/>
      <c r="AE227" s="91"/>
      <c r="AF227" s="91"/>
      <c r="AG227" s="91"/>
      <c r="AH227" s="91"/>
      <c r="AI227" s="91"/>
      <c r="AJ227" s="91"/>
      <c r="AK227" s="91"/>
      <c r="AL227" s="91"/>
      <c r="AM227" s="93"/>
      <c r="AN227" s="93"/>
      <c r="AO227" s="93"/>
      <c r="AP227" s="93"/>
      <c r="AQ227" s="93"/>
      <c r="AR227" s="97"/>
      <c r="AS227" s="97"/>
      <c r="AT227" s="98"/>
      <c r="AU227" s="98"/>
      <c r="AV227" s="98"/>
      <c r="AW227" s="98"/>
      <c r="AX227" s="98"/>
      <c r="AY227" s="98"/>
    </row>
    <row r="228" spans="1:51" ht="13.9" customHeight="1" x14ac:dyDescent="0.15">
      <c r="A228" s="10">
        <v>2025</v>
      </c>
      <c r="B228" s="10">
        <f t="shared" si="67"/>
        <v>3</v>
      </c>
      <c r="C228" s="67">
        <f t="shared" si="68"/>
        <v>45717</v>
      </c>
      <c r="D228" s="36">
        <f t="shared" si="71"/>
        <v>45742</v>
      </c>
      <c r="E228" s="37">
        <f t="shared" si="72"/>
        <v>45742</v>
      </c>
      <c r="F228" s="14" t="str">
        <f t="shared" si="73"/>
        <v>雨池　凌也</v>
      </c>
      <c r="H228" s="91"/>
      <c r="I228" s="91">
        <v>1</v>
      </c>
      <c r="J228" s="91"/>
      <c r="K228" s="91"/>
      <c r="L228" s="91"/>
      <c r="M228" s="91"/>
      <c r="N228" s="91"/>
      <c r="O228" s="106"/>
      <c r="P228" s="106"/>
      <c r="Q228" s="106"/>
      <c r="R228" s="106"/>
      <c r="S228" s="91"/>
      <c r="T228" s="91"/>
      <c r="U228" s="91"/>
      <c r="V228" s="91"/>
      <c r="W228" s="91"/>
      <c r="X228" s="106"/>
      <c r="Y228" s="91"/>
      <c r="Z228" s="91"/>
      <c r="AA228" s="91"/>
      <c r="AB228" s="91"/>
      <c r="AC228" s="91"/>
      <c r="AD228" s="91"/>
      <c r="AE228" s="91"/>
      <c r="AF228" s="91"/>
      <c r="AG228" s="91"/>
      <c r="AH228" s="91"/>
      <c r="AI228" s="91"/>
      <c r="AJ228" s="91"/>
      <c r="AK228" s="91"/>
      <c r="AL228" s="91"/>
      <c r="AM228" s="93"/>
      <c r="AN228" s="93"/>
      <c r="AO228" s="93"/>
      <c r="AP228" s="93"/>
      <c r="AQ228" s="93"/>
      <c r="AR228" s="97"/>
      <c r="AS228" s="97"/>
      <c r="AT228" s="98"/>
      <c r="AU228" s="98"/>
      <c r="AV228" s="98"/>
      <c r="AW228" s="98"/>
      <c r="AX228" s="98"/>
      <c r="AY228" s="98"/>
    </row>
    <row r="229" spans="1:51" ht="13.9" customHeight="1" x14ac:dyDescent="0.15">
      <c r="A229" s="10">
        <v>2025</v>
      </c>
      <c r="B229" s="10">
        <f t="shared" si="67"/>
        <v>4</v>
      </c>
      <c r="C229" s="67">
        <f t="shared" si="68"/>
        <v>45748</v>
      </c>
      <c r="D229" s="36">
        <f t="shared" si="69"/>
        <v>45756</v>
      </c>
      <c r="E229" s="37">
        <f t="shared" si="72"/>
        <v>45756</v>
      </c>
      <c r="F229" s="14" t="str">
        <f t="shared" si="73"/>
        <v>樫田　尚</v>
      </c>
      <c r="H229" s="91"/>
      <c r="I229" s="91"/>
      <c r="J229" s="91">
        <v>1</v>
      </c>
      <c r="K229" s="91"/>
      <c r="L229" s="91"/>
      <c r="M229" s="91"/>
      <c r="N229" s="91"/>
      <c r="O229" s="106"/>
      <c r="P229" s="106"/>
      <c r="Q229" s="106"/>
      <c r="R229" s="106"/>
      <c r="S229" s="91"/>
      <c r="T229" s="91"/>
      <c r="U229" s="91"/>
      <c r="V229" s="91"/>
      <c r="W229" s="91"/>
      <c r="X229" s="106"/>
      <c r="Y229" s="91"/>
      <c r="Z229" s="91"/>
      <c r="AA229" s="91"/>
      <c r="AB229" s="91"/>
      <c r="AC229" s="91"/>
      <c r="AD229" s="91"/>
      <c r="AE229" s="91"/>
      <c r="AF229" s="91"/>
      <c r="AG229" s="91"/>
      <c r="AH229" s="91"/>
      <c r="AI229" s="91"/>
      <c r="AJ229" s="91"/>
      <c r="AK229" s="91"/>
      <c r="AL229" s="91"/>
      <c r="AM229" s="93"/>
      <c r="AN229" s="93"/>
      <c r="AO229" s="93"/>
      <c r="AP229" s="93"/>
      <c r="AQ229" s="93"/>
      <c r="AR229" s="97"/>
      <c r="AS229" s="97"/>
      <c r="AT229" s="98"/>
      <c r="AU229" s="98"/>
      <c r="AV229" s="98"/>
      <c r="AW229" s="98"/>
      <c r="AX229" s="98"/>
      <c r="AY229" s="98"/>
    </row>
    <row r="230" spans="1:51" ht="13.9" customHeight="1" x14ac:dyDescent="0.15">
      <c r="A230" s="10">
        <v>2025</v>
      </c>
      <c r="B230" s="10">
        <f t="shared" si="67"/>
        <v>4</v>
      </c>
      <c r="C230" s="67">
        <f t="shared" ref="C230:C265" si="74">DATE(A230,B230,1)</f>
        <v>45748</v>
      </c>
      <c r="D230" s="38">
        <f t="shared" si="70"/>
        <v>45762</v>
      </c>
      <c r="E230" s="37">
        <f t="shared" si="72"/>
        <v>45762</v>
      </c>
      <c r="F230" s="14" t="str">
        <f t="shared" si="73"/>
        <v>諸田　悠也</v>
      </c>
      <c r="H230" s="91"/>
      <c r="I230" s="91"/>
      <c r="J230" s="91"/>
      <c r="K230" s="91"/>
      <c r="L230" s="91"/>
      <c r="M230" s="91"/>
      <c r="N230" s="91"/>
      <c r="O230" s="106"/>
      <c r="P230" s="106"/>
      <c r="Q230" s="106"/>
      <c r="R230" s="106"/>
      <c r="S230" s="91"/>
      <c r="T230" s="91"/>
      <c r="U230" s="91"/>
      <c r="V230" s="91"/>
      <c r="W230" s="91"/>
      <c r="X230" s="106"/>
      <c r="Y230" s="91"/>
      <c r="Z230" s="91"/>
      <c r="AA230" s="91"/>
      <c r="AB230" s="91"/>
      <c r="AC230" s="91"/>
      <c r="AD230" s="91"/>
      <c r="AE230" s="91"/>
      <c r="AF230" s="91"/>
      <c r="AG230" s="91"/>
      <c r="AH230" s="91"/>
      <c r="AI230" s="91"/>
      <c r="AJ230" s="91"/>
      <c r="AK230" s="91">
        <v>1</v>
      </c>
      <c r="AL230" s="91"/>
      <c r="AM230" s="93"/>
      <c r="AN230" s="93"/>
      <c r="AO230" s="93"/>
      <c r="AP230" s="93"/>
      <c r="AQ230" s="93"/>
      <c r="AR230" s="97"/>
      <c r="AS230" s="97"/>
      <c r="AT230" s="98"/>
      <c r="AU230" s="98"/>
      <c r="AV230" s="98"/>
      <c r="AW230" s="98"/>
      <c r="AX230" s="98"/>
      <c r="AY230" s="98"/>
    </row>
    <row r="231" spans="1:51" ht="13.9" customHeight="1" x14ac:dyDescent="0.15">
      <c r="A231" s="10">
        <v>2025</v>
      </c>
      <c r="B231" s="10">
        <f t="shared" si="67"/>
        <v>4</v>
      </c>
      <c r="C231" s="67">
        <f t="shared" si="74"/>
        <v>45748</v>
      </c>
      <c r="D231" s="36">
        <f t="shared" si="71"/>
        <v>45770</v>
      </c>
      <c r="E231" s="37">
        <f t="shared" si="72"/>
        <v>45770</v>
      </c>
      <c r="F231" s="14" t="str">
        <f t="shared" si="73"/>
        <v>福知　千佳</v>
      </c>
      <c r="H231" s="91"/>
      <c r="I231" s="91"/>
      <c r="J231" s="91"/>
      <c r="K231" s="91"/>
      <c r="L231" s="91">
        <v>1</v>
      </c>
      <c r="M231" s="91"/>
      <c r="N231" s="91"/>
      <c r="O231" s="106"/>
      <c r="P231" s="106"/>
      <c r="Q231" s="106"/>
      <c r="R231" s="106"/>
      <c r="S231" s="91"/>
      <c r="T231" s="91"/>
      <c r="U231" s="91"/>
      <c r="V231" s="91"/>
      <c r="W231" s="91"/>
      <c r="X231" s="106"/>
      <c r="Y231" s="91"/>
      <c r="Z231" s="91"/>
      <c r="AA231" s="91"/>
      <c r="AB231" s="91"/>
      <c r="AC231" s="91"/>
      <c r="AD231" s="91"/>
      <c r="AE231" s="91"/>
      <c r="AF231" s="91"/>
      <c r="AG231" s="91"/>
      <c r="AH231" s="91"/>
      <c r="AI231" s="91"/>
      <c r="AJ231" s="91"/>
      <c r="AK231" s="91"/>
      <c r="AL231" s="91"/>
      <c r="AM231" s="93"/>
      <c r="AN231" s="93"/>
      <c r="AO231" s="93"/>
      <c r="AP231" s="93"/>
      <c r="AQ231" s="93"/>
      <c r="AR231" s="97"/>
      <c r="AS231" s="97"/>
      <c r="AT231" s="98"/>
      <c r="AU231" s="98"/>
      <c r="AV231" s="98"/>
      <c r="AW231" s="98"/>
      <c r="AX231" s="98"/>
      <c r="AY231" s="98"/>
    </row>
    <row r="232" spans="1:51" ht="13.9" customHeight="1" x14ac:dyDescent="0.15">
      <c r="A232" s="10">
        <v>2025</v>
      </c>
      <c r="B232" s="10">
        <f t="shared" si="67"/>
        <v>5</v>
      </c>
      <c r="C232" s="67">
        <f t="shared" si="74"/>
        <v>45778</v>
      </c>
      <c r="D232" s="36">
        <f t="shared" si="69"/>
        <v>45791</v>
      </c>
      <c r="E232" s="37">
        <f t="shared" si="72"/>
        <v>45791</v>
      </c>
      <c r="F232" s="14" t="str">
        <f t="shared" si="73"/>
        <v>中川　大誠</v>
      </c>
      <c r="H232" s="91"/>
      <c r="I232" s="91"/>
      <c r="J232" s="91"/>
      <c r="K232" s="91"/>
      <c r="L232" s="91"/>
      <c r="M232" s="91"/>
      <c r="N232" s="91"/>
      <c r="O232" s="106"/>
      <c r="P232" s="106"/>
      <c r="Q232" s="106"/>
      <c r="R232" s="106"/>
      <c r="S232" s="91"/>
      <c r="T232" s="91"/>
      <c r="U232" s="91"/>
      <c r="V232" s="91"/>
      <c r="W232" s="91"/>
      <c r="X232" s="106"/>
      <c r="Y232" s="91"/>
      <c r="Z232" s="91"/>
      <c r="AA232" s="91"/>
      <c r="AB232" s="91"/>
      <c r="AC232" s="91"/>
      <c r="AD232" s="91"/>
      <c r="AE232" s="91"/>
      <c r="AF232" s="91">
        <v>1</v>
      </c>
      <c r="AG232" s="91"/>
      <c r="AH232" s="91"/>
      <c r="AI232" s="91"/>
      <c r="AJ232" s="91"/>
      <c r="AK232" s="91"/>
      <c r="AL232" s="91"/>
      <c r="AM232" s="93"/>
      <c r="AN232" s="93"/>
      <c r="AO232" s="93"/>
      <c r="AP232" s="93"/>
      <c r="AQ232" s="93"/>
      <c r="AR232" s="97"/>
      <c r="AS232" s="97"/>
      <c r="AT232" s="98"/>
      <c r="AU232" s="98"/>
      <c r="AV232" s="98"/>
      <c r="AW232" s="98"/>
      <c r="AX232" s="98"/>
      <c r="AY232" s="98"/>
    </row>
    <row r="233" spans="1:51" ht="13.9" customHeight="1" x14ac:dyDescent="0.15">
      <c r="A233" s="10">
        <v>2025</v>
      </c>
      <c r="B233" s="10">
        <f t="shared" si="67"/>
        <v>5</v>
      </c>
      <c r="C233" s="67">
        <f t="shared" si="74"/>
        <v>45778</v>
      </c>
      <c r="D233" s="38">
        <f t="shared" si="70"/>
        <v>45797</v>
      </c>
      <c r="E233" s="37">
        <f t="shared" si="72"/>
        <v>45797</v>
      </c>
      <c r="F233" s="14" t="str">
        <f t="shared" si="73"/>
        <v>林 亮子</v>
      </c>
      <c r="H233" s="91"/>
      <c r="I233" s="91"/>
      <c r="J233" s="91"/>
      <c r="K233" s="91"/>
      <c r="L233" s="91"/>
      <c r="M233" s="91"/>
      <c r="N233" s="91"/>
      <c r="O233" s="106"/>
      <c r="P233" s="106"/>
      <c r="Q233" s="106"/>
      <c r="R233" s="106"/>
      <c r="S233" s="91"/>
      <c r="T233" s="91"/>
      <c r="U233" s="91"/>
      <c r="V233" s="91"/>
      <c r="W233" s="91"/>
      <c r="X233" s="106"/>
      <c r="Y233" s="91">
        <v>1</v>
      </c>
      <c r="Z233" s="91"/>
      <c r="AA233" s="91"/>
      <c r="AB233" s="91"/>
      <c r="AC233" s="91"/>
      <c r="AD233" s="91"/>
      <c r="AE233" s="91"/>
      <c r="AF233" s="91"/>
      <c r="AG233" s="91"/>
      <c r="AH233" s="91"/>
      <c r="AI233" s="91"/>
      <c r="AJ233" s="91"/>
      <c r="AK233" s="91"/>
      <c r="AL233" s="91"/>
      <c r="AM233" s="93"/>
      <c r="AN233" s="93"/>
      <c r="AO233" s="93"/>
      <c r="AP233" s="93"/>
      <c r="AQ233" s="93"/>
      <c r="AR233" s="97"/>
      <c r="AS233" s="97"/>
      <c r="AT233" s="98"/>
      <c r="AU233" s="98"/>
      <c r="AV233" s="98"/>
      <c r="AW233" s="98"/>
      <c r="AX233" s="98"/>
      <c r="AY233" s="98"/>
    </row>
    <row r="234" spans="1:51" ht="13.9" customHeight="1" x14ac:dyDescent="0.15">
      <c r="A234" s="10">
        <v>2025</v>
      </c>
      <c r="B234" s="10">
        <f t="shared" si="67"/>
        <v>5</v>
      </c>
      <c r="C234" s="67">
        <f t="shared" si="74"/>
        <v>45778</v>
      </c>
      <c r="D234" s="36">
        <f t="shared" si="71"/>
        <v>45805</v>
      </c>
      <c r="E234" s="37">
        <f t="shared" si="72"/>
        <v>45805</v>
      </c>
      <c r="F234" s="14" t="str">
        <f t="shared" si="73"/>
        <v>加藤 靖博</v>
      </c>
      <c r="H234" s="91"/>
      <c r="I234" s="91"/>
      <c r="J234" s="91"/>
      <c r="K234" s="91"/>
      <c r="L234" s="91"/>
      <c r="M234" s="91"/>
      <c r="N234" s="91"/>
      <c r="O234" s="106"/>
      <c r="P234" s="106"/>
      <c r="Q234" s="106"/>
      <c r="R234" s="106"/>
      <c r="S234" s="91"/>
      <c r="T234" s="91"/>
      <c r="U234" s="91"/>
      <c r="V234" s="91"/>
      <c r="W234" s="91"/>
      <c r="X234" s="106"/>
      <c r="Y234" s="91"/>
      <c r="Z234" s="91"/>
      <c r="AA234" s="91"/>
      <c r="AB234" s="91"/>
      <c r="AC234" s="91"/>
      <c r="AD234" s="91"/>
      <c r="AE234" s="91">
        <v>1</v>
      </c>
      <c r="AF234" s="91"/>
      <c r="AG234" s="91"/>
      <c r="AH234" s="91"/>
      <c r="AI234" s="91"/>
      <c r="AJ234" s="91"/>
      <c r="AK234" s="91"/>
      <c r="AL234" s="91"/>
      <c r="AM234" s="93"/>
      <c r="AN234" s="93"/>
      <c r="AO234" s="93"/>
      <c r="AP234" s="93"/>
      <c r="AQ234" s="93"/>
      <c r="AR234" s="97"/>
      <c r="AS234" s="97"/>
      <c r="AT234" s="98"/>
      <c r="AU234" s="98"/>
      <c r="AV234" s="98"/>
      <c r="AW234" s="98"/>
      <c r="AX234" s="98"/>
      <c r="AY234" s="98"/>
    </row>
    <row r="235" spans="1:51" ht="13.9" customHeight="1" x14ac:dyDescent="0.15">
      <c r="A235" s="10">
        <v>2025</v>
      </c>
      <c r="B235" s="10">
        <f t="shared" si="67"/>
        <v>6</v>
      </c>
      <c r="C235" s="67">
        <f t="shared" si="74"/>
        <v>45809</v>
      </c>
      <c r="D235" s="36">
        <f t="shared" si="69"/>
        <v>45819</v>
      </c>
      <c r="E235" s="37">
        <f t="shared" si="72"/>
        <v>45819</v>
      </c>
      <c r="F235" s="14" t="str">
        <f t="shared" si="73"/>
        <v>薬司 康平</v>
      </c>
      <c r="H235" s="91"/>
      <c r="I235" s="91"/>
      <c r="J235" s="91"/>
      <c r="K235" s="91"/>
      <c r="L235" s="91"/>
      <c r="M235" s="91"/>
      <c r="N235" s="91"/>
      <c r="O235" s="106"/>
      <c r="P235" s="106"/>
      <c r="Q235" s="106"/>
      <c r="R235" s="106"/>
      <c r="S235" s="91"/>
      <c r="T235" s="91"/>
      <c r="U235" s="91"/>
      <c r="V235" s="91"/>
      <c r="W235" s="91"/>
      <c r="X235" s="106"/>
      <c r="Y235" s="91"/>
      <c r="Z235" s="91"/>
      <c r="AA235" s="91"/>
      <c r="AB235" s="91"/>
      <c r="AC235" s="91"/>
      <c r="AD235" s="91"/>
      <c r="AE235" s="91"/>
      <c r="AF235" s="91"/>
      <c r="AG235" s="91">
        <v>1</v>
      </c>
      <c r="AH235" s="91"/>
      <c r="AI235" s="91"/>
      <c r="AJ235" s="91"/>
      <c r="AK235" s="91"/>
      <c r="AL235" s="91"/>
      <c r="AM235" s="93"/>
      <c r="AN235" s="93"/>
      <c r="AO235" s="93"/>
      <c r="AP235" s="93"/>
      <c r="AQ235" s="93"/>
      <c r="AR235" s="97"/>
      <c r="AS235" s="97"/>
      <c r="AT235" s="98"/>
      <c r="AU235" s="98"/>
      <c r="AV235" s="98"/>
      <c r="AW235" s="98"/>
      <c r="AX235" s="98"/>
      <c r="AY235" s="98"/>
    </row>
    <row r="236" spans="1:51" ht="13.9" customHeight="1" x14ac:dyDescent="0.15">
      <c r="A236" s="10">
        <v>2025</v>
      </c>
      <c r="B236" s="10">
        <f t="shared" si="67"/>
        <v>6</v>
      </c>
      <c r="C236" s="67">
        <f t="shared" si="74"/>
        <v>45809</v>
      </c>
      <c r="D236" s="38">
        <f t="shared" si="70"/>
        <v>45825</v>
      </c>
      <c r="E236" s="37">
        <f t="shared" si="72"/>
        <v>45825</v>
      </c>
      <c r="F236" s="14" t="str">
        <f t="shared" si="73"/>
        <v>菅野　祐萌</v>
      </c>
      <c r="H236" s="91"/>
      <c r="I236" s="91"/>
      <c r="J236" s="91"/>
      <c r="K236" s="91"/>
      <c r="L236" s="91"/>
      <c r="M236" s="91"/>
      <c r="N236" s="91"/>
      <c r="O236" s="106"/>
      <c r="P236" s="106"/>
      <c r="Q236" s="106"/>
      <c r="R236" s="106"/>
      <c r="S236" s="91">
        <v>1</v>
      </c>
      <c r="T236" s="91"/>
      <c r="U236" s="91"/>
      <c r="V236" s="91"/>
      <c r="W236" s="91"/>
      <c r="X236" s="106"/>
      <c r="Y236" s="91"/>
      <c r="Z236" s="91"/>
      <c r="AA236" s="91"/>
      <c r="AB236" s="91"/>
      <c r="AC236" s="91"/>
      <c r="AD236" s="91"/>
      <c r="AE236" s="91"/>
      <c r="AF236" s="91"/>
      <c r="AG236" s="91"/>
      <c r="AH236" s="91"/>
      <c r="AI236" s="91"/>
      <c r="AJ236" s="91"/>
      <c r="AK236" s="91"/>
      <c r="AL236" s="91"/>
      <c r="AM236" s="93"/>
      <c r="AN236" s="93"/>
      <c r="AO236" s="93"/>
      <c r="AP236" s="93"/>
      <c r="AQ236" s="93"/>
      <c r="AR236" s="97"/>
      <c r="AS236" s="97"/>
      <c r="AT236" s="98"/>
      <c r="AU236" s="98"/>
      <c r="AV236" s="98"/>
      <c r="AW236" s="98"/>
      <c r="AX236" s="98"/>
      <c r="AY236" s="98"/>
    </row>
    <row r="237" spans="1:51" ht="13.9" customHeight="1" x14ac:dyDescent="0.15">
      <c r="A237" s="10">
        <v>2025</v>
      </c>
      <c r="B237" s="10">
        <f t="shared" si="67"/>
        <v>6</v>
      </c>
      <c r="C237" s="67">
        <f t="shared" si="74"/>
        <v>45809</v>
      </c>
      <c r="D237" s="36">
        <f t="shared" si="71"/>
        <v>45833</v>
      </c>
      <c r="E237" s="37">
        <f t="shared" si="72"/>
        <v>45833</v>
      </c>
      <c r="F237" s="14" t="str">
        <f t="shared" si="73"/>
        <v>別所　貴仁</v>
      </c>
      <c r="H237" s="91"/>
      <c r="I237" s="91"/>
      <c r="J237" s="91"/>
      <c r="K237" s="91"/>
      <c r="L237" s="91"/>
      <c r="M237" s="91"/>
      <c r="N237" s="91">
        <v>1</v>
      </c>
      <c r="O237" s="106"/>
      <c r="P237" s="106"/>
      <c r="Q237" s="106"/>
      <c r="R237" s="106"/>
      <c r="S237" s="91"/>
      <c r="T237" s="91"/>
      <c r="U237" s="91"/>
      <c r="V237" s="91"/>
      <c r="W237" s="91"/>
      <c r="X237" s="106"/>
      <c r="Y237" s="91"/>
      <c r="Z237" s="91"/>
      <c r="AA237" s="91"/>
      <c r="AB237" s="91"/>
      <c r="AC237" s="91"/>
      <c r="AD237" s="91"/>
      <c r="AE237" s="91"/>
      <c r="AF237" s="91"/>
      <c r="AG237" s="91"/>
      <c r="AH237" s="91"/>
      <c r="AI237" s="91"/>
      <c r="AJ237" s="91"/>
      <c r="AK237" s="91"/>
      <c r="AL237" s="91"/>
      <c r="AM237" s="93"/>
      <c r="AN237" s="93"/>
      <c r="AO237" s="93"/>
      <c r="AP237" s="93"/>
      <c r="AQ237" s="93"/>
      <c r="AR237" s="97"/>
      <c r="AS237" s="97"/>
      <c r="AT237" s="98"/>
      <c r="AU237" s="98"/>
      <c r="AV237" s="98"/>
      <c r="AW237" s="98"/>
      <c r="AX237" s="98"/>
      <c r="AY237" s="98"/>
    </row>
    <row r="238" spans="1:51" ht="13.9" customHeight="1" x14ac:dyDescent="0.15">
      <c r="A238" s="10">
        <v>2025</v>
      </c>
      <c r="B238" s="10">
        <f t="shared" si="67"/>
        <v>7</v>
      </c>
      <c r="C238" s="67">
        <f t="shared" si="74"/>
        <v>45839</v>
      </c>
      <c r="D238" s="36">
        <f t="shared" ref="D238" si="75">IF(WEEKDAY((DATE(A238,B238,1)))&gt;4,(7-(WEEKDAY((DATE(A238,B238,1)))-4))+(DATE(A238,B238,1)),4-WEEKDAY((DATE(A238,B238,1)))+(DATE(A238,B238,1)))+7</f>
        <v>45847</v>
      </c>
      <c r="E238" s="37">
        <f t="shared" ref="E238:E255" si="76">D238</f>
        <v>45847</v>
      </c>
      <c r="F238" s="14" t="str">
        <f t="shared" ref="F238:F255" si="77">IFERROR(INDEX($H$1:$AN$1,1,MATCH(1,H238:AN238)),"")</f>
        <v>清水　正生</v>
      </c>
      <c r="H238" s="91"/>
      <c r="I238" s="91"/>
      <c r="J238" s="91"/>
      <c r="K238" s="91"/>
      <c r="L238" s="91"/>
      <c r="M238" s="91"/>
      <c r="N238" s="91"/>
      <c r="O238" s="106"/>
      <c r="P238" s="106"/>
      <c r="Q238" s="106"/>
      <c r="R238" s="106"/>
      <c r="S238" s="91"/>
      <c r="T238" s="91"/>
      <c r="U238" s="91"/>
      <c r="V238" s="91"/>
      <c r="W238" s="91"/>
      <c r="X238" s="106"/>
      <c r="Y238" s="91"/>
      <c r="Z238" s="91"/>
      <c r="AA238" s="91"/>
      <c r="AB238" s="91"/>
      <c r="AC238" s="91"/>
      <c r="AD238" s="91"/>
      <c r="AE238" s="91"/>
      <c r="AF238" s="91"/>
      <c r="AG238" s="91"/>
      <c r="AH238" s="91"/>
      <c r="AI238" s="91"/>
      <c r="AJ238" s="91">
        <v>1</v>
      </c>
      <c r="AK238" s="91"/>
      <c r="AL238" s="91"/>
      <c r="AM238" s="93"/>
      <c r="AN238" s="93"/>
      <c r="AO238" s="93"/>
      <c r="AP238" s="93"/>
      <c r="AQ238" s="93"/>
      <c r="AR238" s="97"/>
      <c r="AS238" s="97"/>
      <c r="AT238" s="98"/>
      <c r="AU238" s="98"/>
      <c r="AV238" s="98"/>
      <c r="AW238" s="98"/>
      <c r="AX238" s="98"/>
      <c r="AY238" s="98"/>
    </row>
    <row r="239" spans="1:51" ht="13.9" customHeight="1" x14ac:dyDescent="0.15">
      <c r="A239" s="10">
        <v>2025</v>
      </c>
      <c r="B239" s="10">
        <f t="shared" si="67"/>
        <v>7</v>
      </c>
      <c r="C239" s="67">
        <f t="shared" si="74"/>
        <v>45839</v>
      </c>
      <c r="D239" s="38">
        <f t="shared" ref="D239" si="78">IF(WEEKDAY(DATE(A239,B239,1))&gt;3,(7-(WEEKDAY(DATE(A239,B239,1))-3))+DATE(A239,B239,1),3-WEEKDAY(DATE(A239,B239,1))+DATE(A239,B239,1))+14</f>
        <v>45853</v>
      </c>
      <c r="E239" s="37">
        <f t="shared" si="76"/>
        <v>45853</v>
      </c>
      <c r="F239" s="14" t="str">
        <f t="shared" si="77"/>
        <v>雨池　凌也</v>
      </c>
      <c r="H239" s="91"/>
      <c r="I239" s="91">
        <v>1</v>
      </c>
      <c r="J239" s="91"/>
      <c r="K239" s="91"/>
      <c r="L239" s="91"/>
      <c r="M239" s="91"/>
      <c r="N239" s="91"/>
      <c r="O239" s="106"/>
      <c r="P239" s="106"/>
      <c r="Q239" s="106"/>
      <c r="R239" s="106"/>
      <c r="S239" s="91"/>
      <c r="T239" s="91"/>
      <c r="U239" s="91"/>
      <c r="V239" s="91"/>
      <c r="W239" s="91"/>
      <c r="X239" s="106"/>
      <c r="Y239" s="91"/>
      <c r="Z239" s="91"/>
      <c r="AA239" s="91"/>
      <c r="AB239" s="91"/>
      <c r="AC239" s="91"/>
      <c r="AD239" s="91"/>
      <c r="AE239" s="91"/>
      <c r="AF239" s="91"/>
      <c r="AG239" s="91"/>
      <c r="AH239" s="91"/>
      <c r="AI239" s="91"/>
      <c r="AJ239" s="91"/>
      <c r="AK239" s="91"/>
      <c r="AL239" s="91"/>
      <c r="AM239" s="93"/>
      <c r="AN239" s="93"/>
      <c r="AO239" s="93"/>
      <c r="AP239" s="93"/>
      <c r="AQ239" s="93"/>
      <c r="AR239" s="97"/>
      <c r="AS239" s="97"/>
      <c r="AT239" s="98"/>
      <c r="AU239" s="98"/>
      <c r="AV239" s="98"/>
      <c r="AW239" s="98"/>
      <c r="AX239" s="98"/>
      <c r="AY239" s="98"/>
    </row>
    <row r="240" spans="1:51" ht="13.9" customHeight="1" x14ac:dyDescent="0.15">
      <c r="A240" s="10">
        <v>2025</v>
      </c>
      <c r="B240" s="10">
        <f t="shared" si="67"/>
        <v>7</v>
      </c>
      <c r="C240" s="67">
        <f t="shared" si="74"/>
        <v>45839</v>
      </c>
      <c r="D240" s="36">
        <f t="shared" ref="D240" si="79">IF(WEEKDAY((DATE(A238,B238,1)))&gt;4,(7-(WEEKDAY((DATE(A238,B238,1)))-4))+(DATE(A238,B238,1)),4-WEEKDAY((DATE(A238,B238,1)))+(DATE(A238,B238,1)))+21</f>
        <v>45861</v>
      </c>
      <c r="E240" s="37">
        <f t="shared" si="76"/>
        <v>45861</v>
      </c>
      <c r="F240" s="14" t="str">
        <f t="shared" si="77"/>
        <v>平田 恵哉</v>
      </c>
      <c r="H240" s="91"/>
      <c r="I240" s="91"/>
      <c r="J240" s="91"/>
      <c r="K240" s="91"/>
      <c r="L240" s="91"/>
      <c r="M240" s="91"/>
      <c r="N240" s="91"/>
      <c r="O240" s="106"/>
      <c r="P240" s="106"/>
      <c r="Q240" s="106"/>
      <c r="R240" s="106"/>
      <c r="S240" s="91"/>
      <c r="T240" s="91"/>
      <c r="U240" s="91">
        <v>1</v>
      </c>
      <c r="V240" s="91"/>
      <c r="W240" s="91"/>
      <c r="X240" s="106"/>
      <c r="Y240" s="91"/>
      <c r="Z240" s="91"/>
      <c r="AA240" s="91"/>
      <c r="AB240" s="91"/>
      <c r="AC240" s="91"/>
      <c r="AD240" s="91"/>
      <c r="AE240" s="91"/>
      <c r="AF240" s="91"/>
      <c r="AG240" s="91"/>
      <c r="AH240" s="91"/>
      <c r="AI240" s="91"/>
      <c r="AJ240" s="91"/>
      <c r="AK240" s="91"/>
      <c r="AL240" s="91"/>
      <c r="AM240" s="93"/>
      <c r="AN240" s="93"/>
      <c r="AO240" s="93"/>
      <c r="AP240" s="93"/>
      <c r="AQ240" s="93"/>
      <c r="AR240" s="97"/>
      <c r="AS240" s="97"/>
      <c r="AT240" s="98"/>
      <c r="AU240" s="98"/>
      <c r="AV240" s="98"/>
      <c r="AW240" s="98"/>
      <c r="AX240" s="98"/>
      <c r="AY240" s="98"/>
    </row>
    <row r="241" spans="1:51" ht="13.9" customHeight="1" x14ac:dyDescent="0.15">
      <c r="A241" s="10">
        <v>2025</v>
      </c>
      <c r="B241" s="10">
        <f t="shared" ref="B241:B304" si="80">IF(B238+1&gt;12,B238+1-12,B238+1)</f>
        <v>8</v>
      </c>
      <c r="C241" s="67">
        <f t="shared" si="74"/>
        <v>45870</v>
      </c>
      <c r="D241" s="36">
        <f t="shared" ref="D241" si="81">IF(WEEKDAY((DATE(A241,B241,1)))&gt;4,(7-(WEEKDAY((DATE(A241,B241,1)))-4))+(DATE(A241,B241,1)),4-WEEKDAY((DATE(A241,B241,1)))+(DATE(A241,B241,1)))+7</f>
        <v>45882</v>
      </c>
      <c r="E241" s="37">
        <f t="shared" si="76"/>
        <v>45882</v>
      </c>
      <c r="F241" s="14" t="str">
        <f t="shared" si="77"/>
        <v>樫田　尚</v>
      </c>
      <c r="H241" s="91"/>
      <c r="I241" s="91"/>
      <c r="J241" s="91">
        <v>1</v>
      </c>
      <c r="K241" s="91"/>
      <c r="L241" s="91"/>
      <c r="M241" s="91"/>
      <c r="N241" s="91"/>
      <c r="O241" s="106"/>
      <c r="P241" s="106"/>
      <c r="Q241" s="106"/>
      <c r="R241" s="106"/>
      <c r="S241" s="91"/>
      <c r="T241" s="91"/>
      <c r="U241" s="91"/>
      <c r="V241" s="91"/>
      <c r="W241" s="91"/>
      <c r="X241" s="106"/>
      <c r="Y241" s="91"/>
      <c r="Z241" s="91"/>
      <c r="AA241" s="91"/>
      <c r="AB241" s="91"/>
      <c r="AC241" s="91"/>
      <c r="AD241" s="91"/>
      <c r="AE241" s="91"/>
      <c r="AF241" s="91"/>
      <c r="AG241" s="91"/>
      <c r="AH241" s="91"/>
      <c r="AI241" s="91"/>
      <c r="AJ241" s="91"/>
      <c r="AK241" s="91"/>
      <c r="AL241" s="91"/>
      <c r="AM241" s="93"/>
      <c r="AN241" s="93"/>
      <c r="AO241" s="93"/>
      <c r="AP241" s="93"/>
      <c r="AQ241" s="93"/>
      <c r="AR241" s="97"/>
      <c r="AS241" s="97"/>
      <c r="AT241" s="98"/>
      <c r="AU241" s="98"/>
      <c r="AV241" s="98"/>
      <c r="AW241" s="98"/>
      <c r="AX241" s="98"/>
      <c r="AY241" s="98"/>
    </row>
    <row r="242" spans="1:51" ht="13.9" customHeight="1" x14ac:dyDescent="0.15">
      <c r="A242" s="10">
        <v>2025</v>
      </c>
      <c r="B242" s="10">
        <f t="shared" si="80"/>
        <v>8</v>
      </c>
      <c r="C242" s="67">
        <f t="shared" si="74"/>
        <v>45870</v>
      </c>
      <c r="D242" s="38">
        <f t="shared" ref="D242" si="82">IF(WEEKDAY(DATE(A242,B242,1))&gt;3,(7-(WEEKDAY(DATE(A242,B242,1))-3))+DATE(A242,B242,1),3-WEEKDAY(DATE(A242,B242,1))+DATE(A242,B242,1))+14</f>
        <v>45888</v>
      </c>
      <c r="E242" s="37">
        <f t="shared" si="76"/>
        <v>45888</v>
      </c>
      <c r="F242" s="14" t="str">
        <f t="shared" si="77"/>
        <v>田村 能之</v>
      </c>
      <c r="H242" s="91"/>
      <c r="I242" s="91"/>
      <c r="J242" s="91"/>
      <c r="K242" s="91"/>
      <c r="L242" s="91"/>
      <c r="M242" s="91"/>
      <c r="N242" s="91"/>
      <c r="O242" s="106"/>
      <c r="P242" s="106"/>
      <c r="Q242" s="106"/>
      <c r="R242" s="106"/>
      <c r="S242" s="91"/>
      <c r="T242" s="91"/>
      <c r="U242" s="91"/>
      <c r="V242" s="91"/>
      <c r="W242" s="91"/>
      <c r="X242" s="106"/>
      <c r="Y242" s="91"/>
      <c r="Z242" s="91"/>
      <c r="AA242" s="91">
        <v>1</v>
      </c>
      <c r="AB242" s="91"/>
      <c r="AC242" s="91"/>
      <c r="AD242" s="91"/>
      <c r="AE242" s="91"/>
      <c r="AF242" s="91"/>
      <c r="AG242" s="91"/>
      <c r="AH242" s="91"/>
      <c r="AI242" s="91"/>
      <c r="AJ242" s="91"/>
      <c r="AK242" s="91"/>
      <c r="AL242" s="91"/>
      <c r="AM242" s="93"/>
      <c r="AN242" s="93"/>
      <c r="AO242" s="93"/>
      <c r="AP242" s="93"/>
      <c r="AQ242" s="93"/>
      <c r="AR242" s="97"/>
      <c r="AS242" s="97"/>
      <c r="AT242" s="98"/>
      <c r="AU242" s="98"/>
      <c r="AV242" s="98"/>
      <c r="AW242" s="98"/>
      <c r="AX242" s="98"/>
      <c r="AY242" s="98"/>
    </row>
    <row r="243" spans="1:51" ht="13.9" customHeight="1" x14ac:dyDescent="0.15">
      <c r="A243" s="10">
        <v>2025</v>
      </c>
      <c r="B243" s="10">
        <f t="shared" si="80"/>
        <v>8</v>
      </c>
      <c r="C243" s="67">
        <f t="shared" si="74"/>
        <v>45870</v>
      </c>
      <c r="D243" s="36">
        <f t="shared" ref="D243" si="83">IF(WEEKDAY((DATE(A241,B241,1)))&gt;4,(7-(WEEKDAY((DATE(A241,B241,1)))-4))+(DATE(A241,B241,1)),4-WEEKDAY((DATE(A241,B241,1)))+(DATE(A241,B241,1)))+21</f>
        <v>45896</v>
      </c>
      <c r="E243" s="37">
        <f t="shared" si="76"/>
        <v>45896</v>
      </c>
      <c r="F243" s="14" t="str">
        <f t="shared" si="77"/>
        <v>長田 弘二</v>
      </c>
      <c r="H243" s="91"/>
      <c r="I243" s="91"/>
      <c r="J243" s="91"/>
      <c r="K243" s="91"/>
      <c r="L243" s="91"/>
      <c r="M243" s="91"/>
      <c r="N243" s="91"/>
      <c r="O243" s="106"/>
      <c r="P243" s="106"/>
      <c r="Q243" s="106"/>
      <c r="R243" s="106"/>
      <c r="S243" s="91"/>
      <c r="T243" s="91"/>
      <c r="U243" s="91"/>
      <c r="V243" s="91">
        <v>1</v>
      </c>
      <c r="W243" s="91"/>
      <c r="X243" s="106"/>
      <c r="Y243" s="91"/>
      <c r="Z243" s="91"/>
      <c r="AA243" s="91"/>
      <c r="AB243" s="91"/>
      <c r="AC243" s="91"/>
      <c r="AD243" s="91"/>
      <c r="AE243" s="91"/>
      <c r="AF243" s="91"/>
      <c r="AG243" s="91"/>
      <c r="AH243" s="91"/>
      <c r="AI243" s="91"/>
      <c r="AJ243" s="91"/>
      <c r="AK243" s="91"/>
      <c r="AL243" s="91"/>
      <c r="AM243" s="93"/>
      <c r="AN243" s="93"/>
      <c r="AO243" s="93"/>
      <c r="AP243" s="93"/>
      <c r="AQ243" s="93"/>
      <c r="AR243" s="97"/>
      <c r="AS243" s="97"/>
      <c r="AT243" s="98"/>
      <c r="AU243" s="98"/>
      <c r="AV243" s="98"/>
      <c r="AW243" s="98"/>
      <c r="AX243" s="98"/>
      <c r="AY243" s="98"/>
    </row>
    <row r="244" spans="1:51" ht="13.9" customHeight="1" x14ac:dyDescent="0.15">
      <c r="A244" s="10">
        <v>2025</v>
      </c>
      <c r="B244" s="10">
        <f t="shared" si="80"/>
        <v>9</v>
      </c>
      <c r="C244" s="67">
        <f t="shared" si="74"/>
        <v>45901</v>
      </c>
      <c r="D244" s="36">
        <f t="shared" ref="D244" si="84">IF(WEEKDAY((DATE(A244,B244,1)))&gt;4,(7-(WEEKDAY((DATE(A244,B244,1)))-4))+(DATE(A244,B244,1)),4-WEEKDAY((DATE(A244,B244,1)))+(DATE(A244,B244,1)))+7</f>
        <v>45910</v>
      </c>
      <c r="E244" s="37">
        <f t="shared" si="76"/>
        <v>45910</v>
      </c>
      <c r="F244" s="14" t="str">
        <f t="shared" si="77"/>
        <v>諸田　悠也</v>
      </c>
      <c r="H244" s="91"/>
      <c r="I244" s="91"/>
      <c r="J244" s="91"/>
      <c r="K244" s="91"/>
      <c r="L244" s="91"/>
      <c r="M244" s="91"/>
      <c r="N244" s="91"/>
      <c r="O244" s="106"/>
      <c r="P244" s="106"/>
      <c r="Q244" s="106"/>
      <c r="R244" s="106"/>
      <c r="S244" s="91"/>
      <c r="T244" s="91"/>
      <c r="U244" s="91"/>
      <c r="V244" s="91"/>
      <c r="W244" s="91"/>
      <c r="X244" s="106"/>
      <c r="Y244" s="91"/>
      <c r="Z244" s="91"/>
      <c r="AA244" s="91"/>
      <c r="AB244" s="91"/>
      <c r="AC244" s="91"/>
      <c r="AD244" s="91"/>
      <c r="AE244" s="91"/>
      <c r="AF244" s="91"/>
      <c r="AG244" s="91"/>
      <c r="AH244" s="91"/>
      <c r="AI244" s="91"/>
      <c r="AJ244" s="91"/>
      <c r="AK244" s="91">
        <v>1</v>
      </c>
      <c r="AL244" s="91"/>
      <c r="AM244" s="93"/>
      <c r="AN244" s="93"/>
      <c r="AO244" s="93"/>
      <c r="AP244" s="93"/>
      <c r="AQ244" s="93"/>
      <c r="AR244" s="97"/>
      <c r="AS244" s="97"/>
      <c r="AT244" s="98"/>
      <c r="AU244" s="98"/>
      <c r="AV244" s="98"/>
      <c r="AW244" s="98"/>
      <c r="AX244" s="98"/>
      <c r="AY244" s="98"/>
    </row>
    <row r="245" spans="1:51" ht="13.9" customHeight="1" x14ac:dyDescent="0.15">
      <c r="A245" s="10">
        <v>2025</v>
      </c>
      <c r="B245" s="10">
        <f t="shared" si="80"/>
        <v>9</v>
      </c>
      <c r="C245" s="67">
        <f t="shared" si="74"/>
        <v>45901</v>
      </c>
      <c r="D245" s="38">
        <f t="shared" ref="D245" si="85">IF(WEEKDAY(DATE(A245,B245,1))&gt;3,(7-(WEEKDAY(DATE(A245,B245,1))-3))+DATE(A245,B245,1),3-WEEKDAY(DATE(A245,B245,1))+DATE(A245,B245,1))+14</f>
        <v>45916</v>
      </c>
      <c r="E245" s="37">
        <f t="shared" si="76"/>
        <v>45916</v>
      </c>
      <c r="F245" s="14" t="str">
        <f t="shared" si="77"/>
        <v>福知　千佳</v>
      </c>
      <c r="H245" s="91"/>
      <c r="I245" s="91"/>
      <c r="J245" s="91"/>
      <c r="K245" s="91"/>
      <c r="L245" s="91">
        <v>1</v>
      </c>
      <c r="M245" s="91"/>
      <c r="N245" s="91"/>
      <c r="O245" s="106"/>
      <c r="P245" s="106"/>
      <c r="Q245" s="106"/>
      <c r="R245" s="106"/>
      <c r="S245" s="91"/>
      <c r="T245" s="91"/>
      <c r="U245" s="91"/>
      <c r="V245" s="91"/>
      <c r="W245" s="91"/>
      <c r="X245" s="106"/>
      <c r="Y245" s="91"/>
      <c r="Z245" s="91"/>
      <c r="AA245" s="91"/>
      <c r="AB245" s="91"/>
      <c r="AC245" s="91"/>
      <c r="AD245" s="91"/>
      <c r="AE245" s="91"/>
      <c r="AF245" s="91"/>
      <c r="AG245" s="91"/>
      <c r="AH245" s="91"/>
      <c r="AI245" s="91"/>
      <c r="AJ245" s="91"/>
      <c r="AK245" s="91"/>
      <c r="AL245" s="91"/>
      <c r="AM245" s="93"/>
      <c r="AN245" s="93"/>
      <c r="AO245" s="93"/>
      <c r="AP245" s="93"/>
      <c r="AQ245" s="93"/>
      <c r="AR245" s="97"/>
      <c r="AS245" s="97"/>
      <c r="AT245" s="98"/>
      <c r="AU245" s="98"/>
      <c r="AV245" s="98"/>
      <c r="AW245" s="98"/>
      <c r="AX245" s="98"/>
      <c r="AY245" s="98"/>
    </row>
    <row r="246" spans="1:51" ht="13.9" customHeight="1" x14ac:dyDescent="0.15">
      <c r="A246" s="10">
        <v>2025</v>
      </c>
      <c r="B246" s="10">
        <f t="shared" si="80"/>
        <v>9</v>
      </c>
      <c r="C246" s="67">
        <f t="shared" si="74"/>
        <v>45901</v>
      </c>
      <c r="D246" s="36">
        <f t="shared" ref="D246" si="86">IF(WEEKDAY((DATE(A244,B244,1)))&gt;4,(7-(WEEKDAY((DATE(A244,B244,1)))-4))+(DATE(A244,B244,1)),4-WEEKDAY((DATE(A244,B244,1)))+(DATE(A244,B244,1)))+21</f>
        <v>45924</v>
      </c>
      <c r="E246" s="37">
        <f t="shared" si="76"/>
        <v>45924</v>
      </c>
      <c r="F246" s="14" t="str">
        <f t="shared" si="77"/>
        <v>菅野　祐萌</v>
      </c>
      <c r="H246" s="91"/>
      <c r="I246" s="91"/>
      <c r="J246" s="91"/>
      <c r="K246" s="91"/>
      <c r="L246" s="91"/>
      <c r="M246" s="91"/>
      <c r="N246" s="91"/>
      <c r="O246" s="106"/>
      <c r="P246" s="106"/>
      <c r="Q246" s="106"/>
      <c r="R246" s="106"/>
      <c r="S246" s="91">
        <v>1</v>
      </c>
      <c r="T246" s="91"/>
      <c r="U246" s="91"/>
      <c r="V246" s="91"/>
      <c r="W246" s="91"/>
      <c r="X246" s="106"/>
      <c r="Y246" s="91"/>
      <c r="Z246" s="91"/>
      <c r="AA246" s="91"/>
      <c r="AB246" s="91"/>
      <c r="AC246" s="91"/>
      <c r="AD246" s="91"/>
      <c r="AE246" s="91"/>
      <c r="AF246" s="91"/>
      <c r="AG246" s="91"/>
      <c r="AH246" s="91"/>
      <c r="AI246" s="91"/>
      <c r="AJ246" s="91"/>
      <c r="AK246" s="91"/>
      <c r="AL246" s="91"/>
      <c r="AM246" s="93"/>
      <c r="AN246" s="93"/>
      <c r="AO246" s="93"/>
      <c r="AP246" s="93"/>
      <c r="AQ246" s="93"/>
      <c r="AR246" s="97"/>
      <c r="AS246" s="97"/>
      <c r="AT246" s="98"/>
      <c r="AU246" s="98"/>
      <c r="AV246" s="98"/>
      <c r="AW246" s="98"/>
      <c r="AX246" s="98"/>
      <c r="AY246" s="98"/>
    </row>
    <row r="247" spans="1:51" ht="13.9" customHeight="1" x14ac:dyDescent="0.15">
      <c r="A247" s="10">
        <v>2025</v>
      </c>
      <c r="B247" s="10">
        <f t="shared" si="80"/>
        <v>10</v>
      </c>
      <c r="C247" s="67">
        <f t="shared" si="74"/>
        <v>45931</v>
      </c>
      <c r="D247" s="36">
        <f t="shared" ref="D247" si="87">IF(WEEKDAY((DATE(A247,B247,1)))&gt;4,(7-(WEEKDAY((DATE(A247,B247,1)))-4))+(DATE(A247,B247,1)),4-WEEKDAY((DATE(A247,B247,1)))+(DATE(A247,B247,1)))+7</f>
        <v>45938</v>
      </c>
      <c r="E247" s="37">
        <f t="shared" si="76"/>
        <v>45938</v>
      </c>
      <c r="F247" s="14" t="str">
        <f t="shared" si="77"/>
        <v>片岡 恵梨子</v>
      </c>
      <c r="H247" s="91"/>
      <c r="I247" s="91"/>
      <c r="J247" s="91"/>
      <c r="K247" s="91"/>
      <c r="L247" s="91"/>
      <c r="M247" s="91"/>
      <c r="N247" s="91"/>
      <c r="O247" s="106"/>
      <c r="P247" s="106"/>
      <c r="Q247" s="106"/>
      <c r="R247" s="106"/>
      <c r="S247" s="91"/>
      <c r="T247" s="91"/>
      <c r="U247" s="91"/>
      <c r="V247" s="91"/>
      <c r="W247" s="91"/>
      <c r="X247" s="106"/>
      <c r="Y247" s="91"/>
      <c r="Z247" s="91"/>
      <c r="AA247" s="91"/>
      <c r="AB247" s="91"/>
      <c r="AC247" s="91">
        <v>1</v>
      </c>
      <c r="AD247" s="91"/>
      <c r="AE247" s="91"/>
      <c r="AF247" s="91"/>
      <c r="AG247" s="91"/>
      <c r="AH247" s="91"/>
      <c r="AI247" s="91"/>
      <c r="AJ247" s="91"/>
      <c r="AK247" s="91"/>
      <c r="AL247" s="91"/>
      <c r="AM247" s="93"/>
      <c r="AN247" s="93"/>
      <c r="AO247" s="93"/>
      <c r="AP247" s="93"/>
      <c r="AQ247" s="93"/>
      <c r="AR247" s="97"/>
      <c r="AS247" s="97"/>
      <c r="AT247" s="98"/>
      <c r="AU247" s="98"/>
      <c r="AV247" s="98"/>
      <c r="AW247" s="98"/>
      <c r="AX247" s="98"/>
      <c r="AY247" s="98"/>
    </row>
    <row r="248" spans="1:51" ht="13.9" customHeight="1" x14ac:dyDescent="0.15">
      <c r="A248" s="10">
        <v>2025</v>
      </c>
      <c r="B248" s="10">
        <f t="shared" si="80"/>
        <v>10</v>
      </c>
      <c r="C248" s="67">
        <f t="shared" si="74"/>
        <v>45931</v>
      </c>
      <c r="D248" s="38">
        <v>45944</v>
      </c>
      <c r="E248" s="37">
        <f t="shared" si="76"/>
        <v>45944</v>
      </c>
      <c r="F248" s="14" t="str">
        <f t="shared" si="77"/>
        <v>袋　隼哉</v>
      </c>
      <c r="H248" s="91"/>
      <c r="I248" s="91"/>
      <c r="J248" s="91"/>
      <c r="K248" s="91"/>
      <c r="L248" s="91"/>
      <c r="M248" s="91"/>
      <c r="N248" s="91"/>
      <c r="O248" s="106"/>
      <c r="P248" s="106"/>
      <c r="Q248" s="106"/>
      <c r="R248" s="106"/>
      <c r="S248" s="91"/>
      <c r="T248" s="91">
        <v>1</v>
      </c>
      <c r="U248" s="91"/>
      <c r="V248" s="91"/>
      <c r="W248" s="91"/>
      <c r="X248" s="106"/>
      <c r="Y248" s="91"/>
      <c r="Z248" s="91"/>
      <c r="AA248" s="91"/>
      <c r="AB248" s="91"/>
      <c r="AC248" s="91"/>
      <c r="AD248" s="91"/>
      <c r="AE248" s="91"/>
      <c r="AF248" s="91"/>
      <c r="AG248" s="91"/>
      <c r="AH248" s="91"/>
      <c r="AI248" s="91"/>
      <c r="AJ248" s="91"/>
      <c r="AK248" s="91"/>
      <c r="AL248" s="91"/>
      <c r="AM248" s="93"/>
      <c r="AN248" s="93"/>
      <c r="AO248" s="93"/>
      <c r="AP248" s="93"/>
      <c r="AQ248" s="93"/>
      <c r="AR248" s="97"/>
      <c r="AS248" s="97"/>
      <c r="AT248" s="98"/>
      <c r="AU248" s="98"/>
      <c r="AV248" s="98"/>
      <c r="AW248" s="98"/>
      <c r="AX248" s="98"/>
      <c r="AY248" s="98"/>
    </row>
    <row r="249" spans="1:51" ht="13.9" customHeight="1" x14ac:dyDescent="0.15">
      <c r="A249" s="10">
        <v>2025</v>
      </c>
      <c r="B249" s="10">
        <f t="shared" si="80"/>
        <v>10</v>
      </c>
      <c r="C249" s="67">
        <f t="shared" si="74"/>
        <v>45931</v>
      </c>
      <c r="D249" s="36">
        <f t="shared" ref="D249" si="88">IF(WEEKDAY((DATE(A247,B247,1)))&gt;4,(7-(WEEKDAY((DATE(A247,B247,1)))-4))+(DATE(A247,B247,1)),4-WEEKDAY((DATE(A247,B247,1)))+(DATE(A247,B247,1)))+21</f>
        <v>45952</v>
      </c>
      <c r="E249" s="37">
        <f t="shared" si="76"/>
        <v>45952</v>
      </c>
      <c r="F249" s="14" t="str">
        <f t="shared" si="77"/>
        <v>中川　大誠</v>
      </c>
      <c r="H249" s="91"/>
      <c r="I249" s="91"/>
      <c r="J249" s="91"/>
      <c r="K249" s="91"/>
      <c r="L249" s="91"/>
      <c r="M249" s="91"/>
      <c r="N249" s="91"/>
      <c r="O249" s="106"/>
      <c r="P249" s="106"/>
      <c r="Q249" s="106"/>
      <c r="R249" s="106"/>
      <c r="S249" s="91"/>
      <c r="T249" s="91"/>
      <c r="U249" s="91"/>
      <c r="V249" s="91"/>
      <c r="W249" s="91"/>
      <c r="X249" s="106"/>
      <c r="Y249" s="91"/>
      <c r="Z249" s="91"/>
      <c r="AA249" s="91"/>
      <c r="AB249" s="91"/>
      <c r="AC249" s="91"/>
      <c r="AD249" s="91"/>
      <c r="AE249" s="91"/>
      <c r="AF249" s="91">
        <v>1</v>
      </c>
      <c r="AG249" s="91"/>
      <c r="AH249" s="91"/>
      <c r="AI249" s="91"/>
      <c r="AJ249" s="91"/>
      <c r="AK249" s="91"/>
      <c r="AL249" s="91"/>
      <c r="AM249" s="93"/>
      <c r="AN249" s="93"/>
      <c r="AO249" s="93"/>
      <c r="AP249" s="93"/>
      <c r="AQ249" s="93"/>
      <c r="AR249" s="97"/>
      <c r="AS249" s="97"/>
      <c r="AT249" s="98"/>
      <c r="AU249" s="98"/>
      <c r="AV249" s="98"/>
      <c r="AW249" s="98"/>
      <c r="AX249" s="98"/>
      <c r="AY249" s="98"/>
    </row>
    <row r="250" spans="1:51" ht="13.9" customHeight="1" x14ac:dyDescent="0.15">
      <c r="A250" s="10">
        <v>2025</v>
      </c>
      <c r="B250" s="10">
        <f t="shared" si="80"/>
        <v>11</v>
      </c>
      <c r="C250" s="67">
        <f t="shared" si="74"/>
        <v>45962</v>
      </c>
      <c r="D250" s="36">
        <f t="shared" ref="D250" si="89">IF(WEEKDAY((DATE(A250,B250,1)))&gt;4,(7-(WEEKDAY((DATE(A250,B250,1)))-4))+(DATE(A250,B250,1)),4-WEEKDAY((DATE(A250,B250,1)))+(DATE(A250,B250,1)))+7</f>
        <v>45973</v>
      </c>
      <c r="E250" s="37">
        <f t="shared" si="76"/>
        <v>45973</v>
      </c>
      <c r="F250" s="14" t="str">
        <f t="shared" si="77"/>
        <v>南 博之</v>
      </c>
      <c r="H250" s="91"/>
      <c r="I250" s="91"/>
      <c r="J250" s="91"/>
      <c r="K250" s="91"/>
      <c r="L250" s="91"/>
      <c r="M250" s="91"/>
      <c r="N250" s="91"/>
      <c r="O250" s="106"/>
      <c r="P250" s="106"/>
      <c r="Q250" s="106">
        <v>1</v>
      </c>
      <c r="R250" s="106"/>
      <c r="S250" s="91"/>
      <c r="T250" s="91"/>
      <c r="U250" s="91"/>
      <c r="V250" s="91"/>
      <c r="W250" s="91"/>
      <c r="X250" s="106"/>
      <c r="Y250" s="91"/>
      <c r="Z250" s="91"/>
      <c r="AA250" s="91"/>
      <c r="AB250" s="91"/>
      <c r="AC250" s="91"/>
      <c r="AD250" s="91"/>
      <c r="AE250" s="91"/>
      <c r="AF250" s="91"/>
      <c r="AG250" s="91"/>
      <c r="AH250" s="91"/>
      <c r="AI250" s="91"/>
      <c r="AJ250" s="91"/>
      <c r="AK250" s="91"/>
      <c r="AL250" s="91"/>
      <c r="AM250" s="93"/>
      <c r="AN250" s="93"/>
      <c r="AO250" s="93"/>
      <c r="AP250" s="93"/>
      <c r="AQ250" s="93"/>
      <c r="AR250" s="97"/>
      <c r="AS250" s="97"/>
      <c r="AT250" s="98"/>
      <c r="AU250" s="98"/>
      <c r="AV250" s="98"/>
      <c r="AW250" s="98"/>
      <c r="AX250" s="98"/>
      <c r="AY250" s="98"/>
    </row>
    <row r="251" spans="1:51" ht="13.9" customHeight="1" x14ac:dyDescent="0.15">
      <c r="A251" s="10">
        <v>2025</v>
      </c>
      <c r="B251" s="10">
        <f t="shared" si="80"/>
        <v>11</v>
      </c>
      <c r="C251" s="67">
        <f t="shared" si="74"/>
        <v>45962</v>
      </c>
      <c r="D251" s="38">
        <f t="shared" ref="D251" si="90">IF(WEEKDAY(DATE(A251,B251,1))&gt;3,(7-(WEEKDAY(DATE(A251,B251,1))-3))+DATE(A251,B251,1),3-WEEKDAY(DATE(A251,B251,1))+DATE(A251,B251,1))+14</f>
        <v>45979</v>
      </c>
      <c r="E251" s="37">
        <f t="shared" si="76"/>
        <v>45979</v>
      </c>
      <c r="F251" s="14" t="str">
        <f t="shared" si="77"/>
        <v>西郡　健太</v>
      </c>
      <c r="H251" s="91"/>
      <c r="I251" s="91"/>
      <c r="J251" s="91"/>
      <c r="K251" s="91"/>
      <c r="L251" s="91"/>
      <c r="M251" s="91"/>
      <c r="N251" s="91"/>
      <c r="O251" s="106"/>
      <c r="P251" s="106"/>
      <c r="Q251" s="106"/>
      <c r="R251" s="106"/>
      <c r="S251" s="91"/>
      <c r="T251" s="91"/>
      <c r="U251" s="91"/>
      <c r="V251" s="91"/>
      <c r="W251" s="91"/>
      <c r="X251" s="106"/>
      <c r="Y251" s="91"/>
      <c r="Z251" s="91"/>
      <c r="AA251" s="91"/>
      <c r="AB251" s="91"/>
      <c r="AC251" s="91"/>
      <c r="AD251" s="91"/>
      <c r="AE251" s="91"/>
      <c r="AF251" s="91"/>
      <c r="AG251" s="91"/>
      <c r="AH251" s="91"/>
      <c r="AI251" s="91">
        <v>1</v>
      </c>
      <c r="AJ251" s="91"/>
      <c r="AK251" s="91"/>
      <c r="AL251" s="91"/>
      <c r="AM251" s="93"/>
      <c r="AN251" s="93"/>
      <c r="AO251" s="93"/>
      <c r="AP251" s="93"/>
      <c r="AQ251" s="93"/>
      <c r="AR251" s="97"/>
      <c r="AS251" s="97"/>
      <c r="AT251" s="98"/>
      <c r="AU251" s="98"/>
      <c r="AV251" s="98"/>
      <c r="AW251" s="98"/>
      <c r="AX251" s="98"/>
      <c r="AY251" s="98"/>
    </row>
    <row r="252" spans="1:51" ht="13.9" customHeight="1" x14ac:dyDescent="0.15">
      <c r="A252" s="10">
        <v>2025</v>
      </c>
      <c r="B252" s="10">
        <f t="shared" si="80"/>
        <v>11</v>
      </c>
      <c r="C252" s="67">
        <f t="shared" si="74"/>
        <v>45962</v>
      </c>
      <c r="D252" s="36">
        <f t="shared" ref="D252" si="91">IF(WEEKDAY((DATE(A250,B250,1)))&gt;4,(7-(WEEKDAY((DATE(A250,B250,1)))-4))+(DATE(A250,B250,1)),4-WEEKDAY((DATE(A250,B250,1)))+(DATE(A250,B250,1)))+21</f>
        <v>45987</v>
      </c>
      <c r="E252" s="37">
        <f t="shared" si="76"/>
        <v>45987</v>
      </c>
      <c r="F252" s="14" t="str">
        <f t="shared" si="77"/>
        <v>薬司 康平</v>
      </c>
      <c r="H252" s="91"/>
      <c r="I252" s="91"/>
      <c r="J252" s="91"/>
      <c r="K252" s="91"/>
      <c r="L252" s="91"/>
      <c r="M252" s="91"/>
      <c r="N252" s="91"/>
      <c r="O252" s="106"/>
      <c r="P252" s="106"/>
      <c r="Q252" s="106"/>
      <c r="R252" s="106"/>
      <c r="S252" s="91"/>
      <c r="T252" s="91"/>
      <c r="U252" s="91"/>
      <c r="V252" s="91"/>
      <c r="W252" s="91"/>
      <c r="X252" s="106"/>
      <c r="Y252" s="91"/>
      <c r="Z252" s="91"/>
      <c r="AA252" s="91"/>
      <c r="AB252" s="91"/>
      <c r="AC252" s="91"/>
      <c r="AD252" s="91"/>
      <c r="AE252" s="91"/>
      <c r="AF252" s="91"/>
      <c r="AG252" s="91">
        <v>1</v>
      </c>
      <c r="AH252" s="91"/>
      <c r="AI252" s="91"/>
      <c r="AJ252" s="91"/>
      <c r="AK252" s="91"/>
      <c r="AL252" s="91"/>
      <c r="AM252" s="93"/>
      <c r="AN252" s="93"/>
      <c r="AO252" s="93"/>
      <c r="AP252" s="93"/>
      <c r="AQ252" s="93"/>
      <c r="AR252" s="97"/>
      <c r="AS252" s="97"/>
      <c r="AT252" s="98"/>
      <c r="AU252" s="98"/>
      <c r="AV252" s="98"/>
      <c r="AW252" s="98"/>
      <c r="AX252" s="98"/>
      <c r="AY252" s="98"/>
    </row>
    <row r="253" spans="1:51" ht="13.9" customHeight="1" x14ac:dyDescent="0.15">
      <c r="A253" s="10">
        <v>2025</v>
      </c>
      <c r="B253" s="10">
        <f t="shared" si="80"/>
        <v>12</v>
      </c>
      <c r="C253" s="67">
        <f t="shared" si="74"/>
        <v>45992</v>
      </c>
      <c r="D253" s="36">
        <f t="shared" ref="D253" si="92">IF(WEEKDAY((DATE(A253,B253,1)))&gt;4,(7-(WEEKDAY((DATE(A253,B253,1)))-4))+(DATE(A253,B253,1)),4-WEEKDAY((DATE(A253,B253,1)))+(DATE(A253,B253,1)))+7</f>
        <v>46001</v>
      </c>
      <c r="E253" s="37">
        <f t="shared" si="76"/>
        <v>46001</v>
      </c>
      <c r="F253" s="14" t="str">
        <f t="shared" si="77"/>
        <v>林 亮子</v>
      </c>
      <c r="H253" s="91"/>
      <c r="I253" s="91"/>
      <c r="J253" s="91"/>
      <c r="K253" s="91"/>
      <c r="L253" s="91"/>
      <c r="M253" s="91"/>
      <c r="N253" s="91"/>
      <c r="O253" s="106"/>
      <c r="P253" s="106"/>
      <c r="Q253" s="106"/>
      <c r="R253" s="106"/>
      <c r="S253" s="91"/>
      <c r="T253" s="91"/>
      <c r="U253" s="91"/>
      <c r="V253" s="91"/>
      <c r="W253" s="91"/>
      <c r="X253" s="106"/>
      <c r="Y253" s="91">
        <v>1</v>
      </c>
      <c r="Z253" s="91"/>
      <c r="AA253" s="91"/>
      <c r="AB253" s="91"/>
      <c r="AC253" s="91"/>
      <c r="AD253" s="91"/>
      <c r="AE253" s="91"/>
      <c r="AF253" s="91"/>
      <c r="AG253" s="91"/>
      <c r="AH253" s="91"/>
      <c r="AI253" s="91"/>
      <c r="AJ253" s="91"/>
      <c r="AK253" s="91"/>
      <c r="AL253" s="91"/>
      <c r="AM253" s="93"/>
      <c r="AN253" s="93"/>
      <c r="AO253" s="93"/>
      <c r="AP253" s="93"/>
      <c r="AQ253" s="93"/>
      <c r="AR253" s="97"/>
      <c r="AS253" s="97"/>
      <c r="AT253" s="98"/>
      <c r="AU253" s="98"/>
      <c r="AV253" s="98"/>
      <c r="AW253" s="98"/>
      <c r="AX253" s="98"/>
      <c r="AY253" s="98"/>
    </row>
    <row r="254" spans="1:51" ht="13.9" customHeight="1" x14ac:dyDescent="0.15">
      <c r="A254" s="10">
        <v>2025</v>
      </c>
      <c r="B254" s="10">
        <f t="shared" si="80"/>
        <v>12</v>
      </c>
      <c r="C254" s="67">
        <f t="shared" si="74"/>
        <v>45992</v>
      </c>
      <c r="D254" s="38">
        <f t="shared" ref="D254" si="93">IF(WEEKDAY(DATE(A254,B254,1))&gt;3,(7-(WEEKDAY(DATE(A254,B254,1))-3))+DATE(A254,B254,1),3-WEEKDAY(DATE(A254,B254,1))+DATE(A254,B254,1))+14</f>
        <v>46007</v>
      </c>
      <c r="E254" s="37">
        <f t="shared" si="76"/>
        <v>46007</v>
      </c>
      <c r="F254" s="14" t="str">
        <f t="shared" si="77"/>
        <v>雨池　凌也</v>
      </c>
      <c r="H254" s="91"/>
      <c r="I254" s="91">
        <v>1</v>
      </c>
      <c r="J254" s="91"/>
      <c r="K254" s="91"/>
      <c r="L254" s="91"/>
      <c r="M254" s="91"/>
      <c r="N254" s="91"/>
      <c r="O254" s="106"/>
      <c r="P254" s="106"/>
      <c r="Q254" s="106"/>
      <c r="R254" s="106"/>
      <c r="S254" s="91"/>
      <c r="T254" s="91"/>
      <c r="U254" s="91"/>
      <c r="V254" s="91"/>
      <c r="W254" s="91"/>
      <c r="X254" s="106"/>
      <c r="Y254" s="91"/>
      <c r="Z254" s="91"/>
      <c r="AA254" s="91"/>
      <c r="AB254" s="91"/>
      <c r="AC254" s="91"/>
      <c r="AD254" s="91"/>
      <c r="AE254" s="91"/>
      <c r="AF254" s="91"/>
      <c r="AG254" s="91"/>
      <c r="AH254" s="91"/>
      <c r="AI254" s="91"/>
      <c r="AJ254" s="91"/>
      <c r="AK254" s="91"/>
      <c r="AL254" s="91"/>
      <c r="AM254" s="93"/>
      <c r="AN254" s="93"/>
      <c r="AO254" s="93"/>
      <c r="AP254" s="93"/>
      <c r="AQ254" s="93"/>
      <c r="AR254" s="97"/>
      <c r="AS254" s="97"/>
      <c r="AT254" s="98"/>
      <c r="AU254" s="98"/>
      <c r="AV254" s="98"/>
      <c r="AW254" s="98"/>
      <c r="AX254" s="98"/>
      <c r="AY254" s="98"/>
    </row>
    <row r="255" spans="1:51" ht="13.9" customHeight="1" x14ac:dyDescent="0.15">
      <c r="A255" s="10">
        <v>2025</v>
      </c>
      <c r="B255" s="10">
        <f t="shared" si="80"/>
        <v>12</v>
      </c>
      <c r="C255" s="67">
        <f t="shared" si="74"/>
        <v>45992</v>
      </c>
      <c r="D255" s="36">
        <f t="shared" ref="D255" si="94">IF(WEEKDAY((DATE(A253,B253,1)))&gt;4,(7-(WEEKDAY((DATE(A253,B253,1)))-4))+(DATE(A253,B253,1)),4-WEEKDAY((DATE(A253,B253,1)))+(DATE(A253,B253,1)))+21</f>
        <v>46015</v>
      </c>
      <c r="E255" s="37">
        <f t="shared" si="76"/>
        <v>46015</v>
      </c>
      <c r="F255" s="14" t="str">
        <f t="shared" si="77"/>
        <v>袋　隼哉</v>
      </c>
      <c r="H255" s="91"/>
      <c r="I255" s="91"/>
      <c r="J255" s="91"/>
      <c r="K255" s="91"/>
      <c r="L255" s="91"/>
      <c r="M255" s="91"/>
      <c r="N255" s="91"/>
      <c r="O255" s="106"/>
      <c r="P255" s="106"/>
      <c r="Q255" s="106"/>
      <c r="R255" s="106"/>
      <c r="S255" s="91"/>
      <c r="T255" s="91">
        <v>1</v>
      </c>
      <c r="U255" s="91"/>
      <c r="V255" s="91"/>
      <c r="W255" s="91"/>
      <c r="X255" s="106"/>
      <c r="Y255" s="91"/>
      <c r="Z255" s="91"/>
      <c r="AA255" s="91"/>
      <c r="AB255" s="91"/>
      <c r="AC255" s="91"/>
      <c r="AD255" s="91"/>
      <c r="AE255" s="91"/>
      <c r="AF255" s="91"/>
      <c r="AG255" s="91"/>
      <c r="AH255" s="91"/>
      <c r="AI255" s="91"/>
      <c r="AJ255" s="91"/>
      <c r="AK255" s="91"/>
      <c r="AL255" s="91"/>
      <c r="AM255" s="119"/>
      <c r="AN255" s="93"/>
      <c r="AO255" s="93"/>
      <c r="AP255" s="93"/>
      <c r="AQ255" s="93"/>
      <c r="AR255" s="97"/>
      <c r="AS255" s="97"/>
      <c r="AT255" s="98"/>
      <c r="AU255" s="98"/>
      <c r="AV255" s="98"/>
      <c r="AW255" s="98"/>
      <c r="AX255" s="98"/>
      <c r="AY255" s="98"/>
    </row>
    <row r="256" spans="1:51" ht="13.9" customHeight="1" x14ac:dyDescent="0.15">
      <c r="A256" s="10">
        <v>2026</v>
      </c>
      <c r="B256" s="10">
        <f t="shared" si="80"/>
        <v>1</v>
      </c>
      <c r="C256" s="67">
        <f t="shared" si="74"/>
        <v>46023</v>
      </c>
      <c r="D256" s="36">
        <f t="shared" ref="D256" si="95">IF(WEEKDAY((DATE(A256,B256,1)))&gt;4,(7-(WEEKDAY((DATE(A256,B256,1)))-4))+(DATE(A256,B256,1)),4-WEEKDAY((DATE(A256,B256,1)))+(DATE(A256,B256,1)))+7</f>
        <v>46036</v>
      </c>
      <c r="E256" s="37">
        <f t="shared" ref="E256:E319" si="96">D256</f>
        <v>46036</v>
      </c>
      <c r="F256" s="14" t="str">
        <f t="shared" ref="F256:F319" si="97">IFERROR(INDEX($H$1:$AN$1,1,MATCH(1,H256:AN256)),"")</f>
        <v>田村 能之</v>
      </c>
      <c r="H256" s="91"/>
      <c r="I256" s="91"/>
      <c r="J256" s="91"/>
      <c r="K256" s="91"/>
      <c r="L256" s="91"/>
      <c r="M256" s="91"/>
      <c r="N256" s="91"/>
      <c r="O256" s="106"/>
      <c r="P256" s="106"/>
      <c r="Q256" s="106"/>
      <c r="R256" s="106"/>
      <c r="S256" s="91"/>
      <c r="T256" s="91"/>
      <c r="U256" s="91"/>
      <c r="V256" s="91"/>
      <c r="W256" s="91"/>
      <c r="X256" s="106"/>
      <c r="Y256" s="91"/>
      <c r="Z256" s="91"/>
      <c r="AA256" s="91">
        <v>1</v>
      </c>
      <c r="AB256" s="91"/>
      <c r="AC256" s="91"/>
      <c r="AD256" s="91"/>
      <c r="AE256" s="91"/>
      <c r="AF256" s="91"/>
      <c r="AG256" s="91"/>
      <c r="AH256" s="91"/>
      <c r="AI256" s="91"/>
      <c r="AJ256" s="91"/>
      <c r="AK256" s="91"/>
      <c r="AL256" s="91"/>
    </row>
    <row r="257" spans="1:38" ht="13.9" customHeight="1" x14ac:dyDescent="0.15">
      <c r="A257" s="10">
        <v>2026</v>
      </c>
      <c r="B257" s="10">
        <f t="shared" si="80"/>
        <v>1</v>
      </c>
      <c r="C257" s="67">
        <f t="shared" si="74"/>
        <v>46023</v>
      </c>
      <c r="D257" s="38">
        <f t="shared" ref="D257" si="98">IF(WEEKDAY(DATE(A257,B257,1))&gt;3,(7-(WEEKDAY(DATE(A257,B257,1))-3))+DATE(A257,B257,1),3-WEEKDAY(DATE(A257,B257,1))+DATE(A257,B257,1))+14</f>
        <v>46042</v>
      </c>
      <c r="E257" s="37">
        <f t="shared" si="96"/>
        <v>46042</v>
      </c>
      <c r="F257" s="14" t="str">
        <f t="shared" si="97"/>
        <v>別所　貴仁</v>
      </c>
      <c r="H257" s="91"/>
      <c r="I257" s="91"/>
      <c r="J257" s="91"/>
      <c r="K257" s="91"/>
      <c r="L257" s="91"/>
      <c r="M257" s="91"/>
      <c r="N257" s="91">
        <v>1</v>
      </c>
      <c r="O257" s="106"/>
      <c r="P257" s="106"/>
      <c r="Q257" s="106"/>
      <c r="R257" s="106"/>
      <c r="S257" s="91"/>
      <c r="T257" s="91"/>
      <c r="U257" s="91"/>
      <c r="V257" s="91"/>
      <c r="W257" s="91"/>
      <c r="X257" s="106"/>
      <c r="Y257" s="91"/>
      <c r="Z257" s="91"/>
      <c r="AA257" s="91"/>
      <c r="AB257" s="91"/>
      <c r="AC257" s="91"/>
      <c r="AD257" s="91"/>
      <c r="AE257" s="91"/>
      <c r="AF257" s="91"/>
      <c r="AG257" s="91"/>
      <c r="AH257" s="91"/>
      <c r="AI257" s="91"/>
      <c r="AJ257" s="91"/>
      <c r="AK257" s="91"/>
      <c r="AL257" s="91"/>
    </row>
    <row r="258" spans="1:38" ht="13.9" customHeight="1" x14ac:dyDescent="0.15">
      <c r="A258" s="10">
        <v>2026</v>
      </c>
      <c r="B258" s="10">
        <f t="shared" si="80"/>
        <v>1</v>
      </c>
      <c r="C258" s="67">
        <f t="shared" si="74"/>
        <v>46023</v>
      </c>
      <c r="D258" s="36">
        <f t="shared" ref="D258" si="99">IF(WEEKDAY((DATE(A256,B256,1)))&gt;4,(7-(WEEKDAY((DATE(A256,B256,1)))-4))+(DATE(A256,B256,1)),4-WEEKDAY((DATE(A256,B256,1)))+(DATE(A256,B256,1)))+21</f>
        <v>46050</v>
      </c>
      <c r="E258" s="37">
        <f t="shared" si="96"/>
        <v>46050</v>
      </c>
      <c r="F258" s="14" t="str">
        <f t="shared" si="97"/>
        <v>西郡　健太</v>
      </c>
      <c r="H258" s="91"/>
      <c r="I258" s="91"/>
      <c r="J258" s="91"/>
      <c r="K258" s="91"/>
      <c r="L258" s="91"/>
      <c r="M258" s="91"/>
      <c r="N258" s="91"/>
      <c r="O258" s="106"/>
      <c r="P258" s="106"/>
      <c r="Q258" s="106"/>
      <c r="R258" s="106"/>
      <c r="S258" s="91"/>
      <c r="T258" s="91"/>
      <c r="U258" s="91"/>
      <c r="V258" s="91"/>
      <c r="W258" s="91"/>
      <c r="X258" s="106"/>
      <c r="Y258" s="91"/>
      <c r="Z258" s="91"/>
      <c r="AA258" s="91"/>
      <c r="AB258" s="91"/>
      <c r="AC258" s="91"/>
      <c r="AD258" s="91"/>
      <c r="AE258" s="91"/>
      <c r="AF258" s="91"/>
      <c r="AG258" s="91"/>
      <c r="AH258" s="91"/>
      <c r="AI258" s="91">
        <v>1</v>
      </c>
      <c r="AJ258" s="91"/>
      <c r="AK258" s="91"/>
      <c r="AL258" s="91"/>
    </row>
    <row r="259" spans="1:38" ht="13.9" customHeight="1" x14ac:dyDescent="0.15">
      <c r="A259" s="10">
        <v>2026</v>
      </c>
      <c r="B259" s="10">
        <f t="shared" si="80"/>
        <v>2</v>
      </c>
      <c r="C259" s="67">
        <f t="shared" si="74"/>
        <v>46054</v>
      </c>
      <c r="D259" s="36">
        <f t="shared" ref="D259" si="100">IF(WEEKDAY((DATE(A259,B259,1)))&gt;4,(7-(WEEKDAY((DATE(A259,B259,1)))-4))+(DATE(A259,B259,1)),4-WEEKDAY((DATE(A259,B259,1)))+(DATE(A259,B259,1)))+7</f>
        <v>46064</v>
      </c>
      <c r="E259" s="37">
        <f t="shared" si="96"/>
        <v>46064</v>
      </c>
      <c r="F259" s="14" t="str">
        <f t="shared" si="97"/>
        <v>長田 弘二</v>
      </c>
      <c r="H259" s="91"/>
      <c r="I259" s="91"/>
      <c r="J259" s="91"/>
      <c r="K259" s="91"/>
      <c r="L259" s="91"/>
      <c r="M259" s="91"/>
      <c r="N259" s="91"/>
      <c r="O259" s="106"/>
      <c r="P259" s="106"/>
      <c r="Q259" s="106"/>
      <c r="R259" s="106"/>
      <c r="S259" s="91"/>
      <c r="T259" s="91"/>
      <c r="U259" s="91"/>
      <c r="V259" s="91">
        <v>1</v>
      </c>
      <c r="W259" s="91"/>
      <c r="X259" s="106"/>
      <c r="Y259" s="91"/>
      <c r="Z259" s="91"/>
      <c r="AA259" s="91"/>
      <c r="AB259" s="91"/>
      <c r="AC259" s="91"/>
      <c r="AD259" s="91"/>
      <c r="AE259" s="91"/>
      <c r="AF259" s="91"/>
      <c r="AG259" s="91"/>
      <c r="AH259" s="91"/>
      <c r="AI259" s="91"/>
      <c r="AJ259" s="91"/>
      <c r="AK259" s="91"/>
      <c r="AL259" s="91"/>
    </row>
    <row r="260" spans="1:38" ht="13.9" customHeight="1" x14ac:dyDescent="0.15">
      <c r="A260" s="10">
        <v>2026</v>
      </c>
      <c r="B260" s="10">
        <f t="shared" si="80"/>
        <v>2</v>
      </c>
      <c r="C260" s="67">
        <f t="shared" si="74"/>
        <v>46054</v>
      </c>
      <c r="D260" s="38">
        <f t="shared" ref="D260" si="101">IF(WEEKDAY(DATE(A260,B260,1))&gt;3,(7-(WEEKDAY(DATE(A260,B260,1))-3))+DATE(A260,B260,1),3-WEEKDAY(DATE(A260,B260,1))+DATE(A260,B260,1))+14</f>
        <v>46070</v>
      </c>
      <c r="E260" s="37">
        <f t="shared" si="96"/>
        <v>46070</v>
      </c>
      <c r="F260" s="14" t="str">
        <f t="shared" si="97"/>
        <v>坂下　大知</v>
      </c>
      <c r="H260" s="91"/>
      <c r="I260" s="91"/>
      <c r="J260" s="91"/>
      <c r="K260" s="91">
        <v>1</v>
      </c>
      <c r="L260" s="91"/>
      <c r="M260" s="91"/>
      <c r="N260" s="91"/>
      <c r="O260" s="106"/>
      <c r="P260" s="106"/>
      <c r="Q260" s="106"/>
      <c r="R260" s="106"/>
      <c r="S260" s="91"/>
      <c r="T260" s="91"/>
      <c r="U260" s="91"/>
      <c r="V260" s="91"/>
      <c r="W260" s="91"/>
      <c r="X260" s="106"/>
      <c r="Y260" s="91"/>
      <c r="Z260" s="91"/>
      <c r="AA260" s="91"/>
      <c r="AB260" s="91"/>
      <c r="AC260" s="91"/>
      <c r="AD260" s="91"/>
      <c r="AE260" s="91"/>
      <c r="AF260" s="91"/>
      <c r="AG260" s="91"/>
      <c r="AH260" s="91"/>
      <c r="AI260" s="91"/>
      <c r="AJ260" s="91"/>
      <c r="AK260" s="91"/>
      <c r="AL260" s="91"/>
    </row>
    <row r="261" spans="1:38" ht="13.9" customHeight="1" x14ac:dyDescent="0.15">
      <c r="A261" s="10">
        <v>2026</v>
      </c>
      <c r="B261" s="10">
        <f t="shared" si="80"/>
        <v>2</v>
      </c>
      <c r="C261" s="67">
        <f t="shared" si="74"/>
        <v>46054</v>
      </c>
      <c r="D261" s="36">
        <f t="shared" ref="D261" si="102">IF(WEEKDAY((DATE(A259,B259,1)))&gt;4,(7-(WEEKDAY((DATE(A259,B259,1)))-4))+(DATE(A259,B259,1)),4-WEEKDAY((DATE(A259,B259,1)))+(DATE(A259,B259,1)))+21</f>
        <v>46078</v>
      </c>
      <c r="E261" s="37">
        <f t="shared" si="96"/>
        <v>46078</v>
      </c>
      <c r="F261" s="14" t="str">
        <f t="shared" si="97"/>
        <v>清水　正生</v>
      </c>
      <c r="H261" s="91"/>
      <c r="I261" s="91"/>
      <c r="J261" s="91"/>
      <c r="K261" s="91"/>
      <c r="L261" s="91"/>
      <c r="M261" s="91"/>
      <c r="N261" s="91"/>
      <c r="O261" s="106"/>
      <c r="P261" s="106"/>
      <c r="Q261" s="106"/>
      <c r="R261" s="106"/>
      <c r="S261" s="91"/>
      <c r="T261" s="91"/>
      <c r="U261" s="91"/>
      <c r="V261" s="91"/>
      <c r="W261" s="91"/>
      <c r="X261" s="106"/>
      <c r="Y261" s="91"/>
      <c r="Z261" s="91"/>
      <c r="AA261" s="91"/>
      <c r="AB261" s="91"/>
      <c r="AC261" s="91"/>
      <c r="AD261" s="91"/>
      <c r="AE261" s="91"/>
      <c r="AF261" s="91"/>
      <c r="AG261" s="91"/>
      <c r="AH261" s="91"/>
      <c r="AI261" s="91"/>
      <c r="AJ261" s="91">
        <v>1</v>
      </c>
      <c r="AK261" s="91"/>
      <c r="AL261" s="91"/>
    </row>
    <row r="262" spans="1:38" ht="13.9" customHeight="1" x14ac:dyDescent="0.15">
      <c r="A262" s="10">
        <v>2026</v>
      </c>
      <c r="B262" s="10">
        <f t="shared" si="80"/>
        <v>3</v>
      </c>
      <c r="C262" s="67">
        <f t="shared" si="74"/>
        <v>46082</v>
      </c>
      <c r="D262" s="36">
        <f t="shared" ref="D262" si="103">IF(WEEKDAY((DATE(A262,B262,1)))&gt;4,(7-(WEEKDAY((DATE(A262,B262,1)))-4))+(DATE(A262,B262,1)),4-WEEKDAY((DATE(A262,B262,1)))+(DATE(A262,B262,1)))+7</f>
        <v>46092</v>
      </c>
      <c r="E262" s="37">
        <f t="shared" si="96"/>
        <v>46092</v>
      </c>
      <c r="F262" s="14" t="str">
        <f t="shared" si="97"/>
        <v>林 亮子</v>
      </c>
      <c r="H262" s="91"/>
      <c r="I262" s="91"/>
      <c r="J262" s="91"/>
      <c r="K262" s="91"/>
      <c r="L262" s="91"/>
      <c r="M262" s="91"/>
      <c r="N262" s="91"/>
      <c r="O262" s="106"/>
      <c r="P262" s="106"/>
      <c r="Q262" s="106"/>
      <c r="R262" s="106"/>
      <c r="S262" s="91"/>
      <c r="T262" s="91"/>
      <c r="U262" s="91"/>
      <c r="V262" s="91"/>
      <c r="W262" s="91"/>
      <c r="X262" s="106"/>
      <c r="Y262" s="91">
        <v>1</v>
      </c>
      <c r="Z262" s="91"/>
      <c r="AA262" s="91"/>
      <c r="AB262" s="91"/>
      <c r="AC262" s="91"/>
      <c r="AD262" s="91"/>
      <c r="AE262" s="91"/>
      <c r="AF262" s="91"/>
      <c r="AG262" s="91"/>
      <c r="AH262" s="91"/>
      <c r="AI262" s="91"/>
      <c r="AJ262" s="91"/>
      <c r="AK262" s="91"/>
      <c r="AL262" s="91"/>
    </row>
    <row r="263" spans="1:38" ht="13.9" customHeight="1" x14ac:dyDescent="0.15">
      <c r="A263" s="10">
        <v>2026</v>
      </c>
      <c r="B263" s="10">
        <f t="shared" si="80"/>
        <v>3</v>
      </c>
      <c r="C263" s="67">
        <f t="shared" si="74"/>
        <v>46082</v>
      </c>
      <c r="D263" s="38">
        <f t="shared" ref="D263" si="104">IF(WEEKDAY(DATE(A263,B263,1))&gt;3,(7-(WEEKDAY(DATE(A263,B263,1))-3))+DATE(A263,B263,1),3-WEEKDAY(DATE(A263,B263,1))+DATE(A263,B263,1))+14</f>
        <v>46098</v>
      </c>
      <c r="E263" s="37">
        <f t="shared" si="96"/>
        <v>46098</v>
      </c>
      <c r="F263" s="14" t="str">
        <f t="shared" si="97"/>
        <v>田村 能之</v>
      </c>
      <c r="H263" s="91"/>
      <c r="I263" s="91"/>
      <c r="J263" s="91"/>
      <c r="K263" s="91"/>
      <c r="L263" s="91"/>
      <c r="M263" s="91"/>
      <c r="N263" s="91"/>
      <c r="O263" s="106"/>
      <c r="P263" s="106"/>
      <c r="Q263" s="106"/>
      <c r="R263" s="106"/>
      <c r="S263" s="91"/>
      <c r="T263" s="91"/>
      <c r="U263" s="91"/>
      <c r="V263" s="91"/>
      <c r="W263" s="91"/>
      <c r="X263" s="106"/>
      <c r="Y263" s="91"/>
      <c r="Z263" s="91"/>
      <c r="AA263" s="91">
        <v>1</v>
      </c>
      <c r="AB263" s="91"/>
      <c r="AC263" s="91"/>
      <c r="AD263" s="91"/>
      <c r="AE263" s="91"/>
      <c r="AF263" s="91"/>
      <c r="AG263" s="91"/>
      <c r="AH263" s="91"/>
      <c r="AI263" s="91"/>
      <c r="AJ263" s="91"/>
      <c r="AK263" s="91"/>
      <c r="AL263" s="91"/>
    </row>
    <row r="264" spans="1:38" ht="13.9" customHeight="1" x14ac:dyDescent="0.15">
      <c r="A264" s="10">
        <v>2026</v>
      </c>
      <c r="B264" s="10">
        <f t="shared" si="80"/>
        <v>3</v>
      </c>
      <c r="C264" s="67">
        <f t="shared" si="74"/>
        <v>46082</v>
      </c>
      <c r="D264" s="36">
        <f t="shared" ref="D264" si="105">IF(WEEKDAY((DATE(A262,B262,1)))&gt;4,(7-(WEEKDAY((DATE(A262,B262,1)))-4))+(DATE(A262,B262,1)),4-WEEKDAY((DATE(A262,B262,1)))+(DATE(A262,B262,1)))+21</f>
        <v>46106</v>
      </c>
      <c r="E264" s="37">
        <f t="shared" si="96"/>
        <v>46106</v>
      </c>
      <c r="F264" s="14" t="str">
        <f t="shared" si="97"/>
        <v>樫田　尚</v>
      </c>
      <c r="H264" s="91"/>
      <c r="I264" s="91"/>
      <c r="J264" s="91">
        <v>1</v>
      </c>
      <c r="K264" s="91"/>
      <c r="L264" s="91"/>
      <c r="M264" s="91"/>
      <c r="N264" s="91"/>
      <c r="O264" s="106"/>
      <c r="P264" s="106"/>
      <c r="Q264" s="106"/>
      <c r="R264" s="106"/>
      <c r="S264" s="91"/>
      <c r="T264" s="91"/>
      <c r="U264" s="91"/>
      <c r="V264" s="91"/>
      <c r="W264" s="91"/>
      <c r="X264" s="106"/>
      <c r="Y264" s="91"/>
      <c r="Z264" s="91"/>
      <c r="AA264" s="91"/>
      <c r="AB264" s="91"/>
      <c r="AC264" s="91"/>
      <c r="AD264" s="91"/>
      <c r="AE264" s="91"/>
      <c r="AF264" s="91"/>
      <c r="AG264" s="91"/>
      <c r="AH264" s="91"/>
      <c r="AI264" s="91"/>
      <c r="AJ264" s="91"/>
      <c r="AK264" s="91"/>
      <c r="AL264" s="91"/>
    </row>
    <row r="265" spans="1:38" ht="13.9" customHeight="1" x14ac:dyDescent="0.15">
      <c r="A265" s="10">
        <v>2026</v>
      </c>
      <c r="B265" s="10">
        <f t="shared" si="80"/>
        <v>4</v>
      </c>
      <c r="C265" s="67">
        <f t="shared" si="74"/>
        <v>46113</v>
      </c>
      <c r="D265" s="36">
        <f t="shared" ref="D265" si="106">IF(WEEKDAY((DATE(A265,B265,1)))&gt;4,(7-(WEEKDAY((DATE(A265,B265,1)))-4))+(DATE(A265,B265,1)),4-WEEKDAY((DATE(A265,B265,1)))+(DATE(A265,B265,1)))+7</f>
        <v>46120</v>
      </c>
      <c r="E265" s="37">
        <f t="shared" si="96"/>
        <v>46120</v>
      </c>
      <c r="F265" s="14" t="str">
        <f t="shared" si="97"/>
        <v>諸田　悠也</v>
      </c>
      <c r="H265" s="91"/>
      <c r="I265" s="91"/>
      <c r="J265" s="91"/>
      <c r="K265" s="91"/>
      <c r="L265" s="91"/>
      <c r="M265" s="91"/>
      <c r="N265" s="91"/>
      <c r="O265" s="106"/>
      <c r="P265" s="106"/>
      <c r="Q265" s="106"/>
      <c r="R265" s="106"/>
      <c r="S265" s="91"/>
      <c r="T265" s="91"/>
      <c r="U265" s="91"/>
      <c r="V265" s="91"/>
      <c r="W265" s="91"/>
      <c r="X265" s="106"/>
      <c r="Y265" s="91"/>
      <c r="Z265" s="91"/>
      <c r="AA265" s="91"/>
      <c r="AB265" s="91"/>
      <c r="AC265" s="91"/>
      <c r="AD265" s="91"/>
      <c r="AE265" s="91"/>
      <c r="AF265" s="91"/>
      <c r="AG265" s="91"/>
      <c r="AH265" s="91"/>
      <c r="AI265" s="91"/>
      <c r="AJ265" s="91"/>
      <c r="AK265" s="91">
        <v>1</v>
      </c>
      <c r="AL265" s="91"/>
    </row>
    <row r="266" spans="1:38" ht="13.9" customHeight="1" x14ac:dyDescent="0.15">
      <c r="A266" s="10">
        <v>2026</v>
      </c>
      <c r="B266" s="10">
        <f t="shared" si="80"/>
        <v>4</v>
      </c>
      <c r="C266" s="67">
        <f t="shared" ref="C266:C301" si="107">DATE(A266,B266,1)</f>
        <v>46113</v>
      </c>
      <c r="D266" s="38">
        <f t="shared" ref="D266" si="108">IF(WEEKDAY(DATE(A266,B266,1))&gt;3,(7-(WEEKDAY(DATE(A266,B266,1))-3))+DATE(A266,B266,1),3-WEEKDAY(DATE(A266,B266,1))+DATE(A266,B266,1))+14</f>
        <v>46133</v>
      </c>
      <c r="E266" s="37">
        <f t="shared" si="96"/>
        <v>46133</v>
      </c>
      <c r="F266" s="14" t="str">
        <f t="shared" si="97"/>
        <v>雨池　凌也</v>
      </c>
      <c r="H266" s="91"/>
      <c r="I266" s="91">
        <v>1</v>
      </c>
      <c r="J266" s="91"/>
      <c r="K266" s="91"/>
      <c r="L266" s="91"/>
      <c r="M266" s="91"/>
      <c r="N266" s="91"/>
      <c r="O266" s="106"/>
      <c r="P266" s="106"/>
      <c r="Q266" s="106"/>
      <c r="R266" s="106"/>
      <c r="S266" s="91"/>
      <c r="T266" s="91"/>
      <c r="U266" s="91"/>
      <c r="V266" s="91"/>
      <c r="W266" s="91"/>
      <c r="X266" s="106"/>
      <c r="Y266" s="91"/>
      <c r="Z266" s="91"/>
      <c r="AA266" s="91"/>
      <c r="AB266" s="91"/>
      <c r="AC266" s="91"/>
      <c r="AD266" s="91"/>
      <c r="AE266" s="91"/>
      <c r="AF266" s="91"/>
      <c r="AG266" s="91"/>
      <c r="AH266" s="91"/>
      <c r="AI266" s="91"/>
      <c r="AJ266" s="91"/>
      <c r="AK266" s="91"/>
      <c r="AL266" s="91"/>
    </row>
    <row r="267" spans="1:38" ht="13.9" customHeight="1" x14ac:dyDescent="0.15">
      <c r="A267" s="10">
        <v>2026</v>
      </c>
      <c r="B267" s="10">
        <f t="shared" si="80"/>
        <v>4</v>
      </c>
      <c r="C267" s="67">
        <f t="shared" si="107"/>
        <v>46113</v>
      </c>
      <c r="D267" s="36">
        <f t="shared" ref="D267" si="109">IF(WEEKDAY((DATE(A265,B265,1)))&gt;4,(7-(WEEKDAY((DATE(A265,B265,1)))-4))+(DATE(A265,B265,1)),4-WEEKDAY((DATE(A265,B265,1)))+(DATE(A265,B265,1)))+21</f>
        <v>46134</v>
      </c>
      <c r="E267" s="37">
        <f t="shared" si="96"/>
        <v>46134</v>
      </c>
      <c r="F267" s="14" t="str">
        <f t="shared" si="97"/>
        <v>平田 恵哉</v>
      </c>
      <c r="H267" s="91"/>
      <c r="I267" s="91"/>
      <c r="J267" s="91"/>
      <c r="K267" s="91"/>
      <c r="L267" s="91"/>
      <c r="M267" s="91"/>
      <c r="N267" s="91"/>
      <c r="O267" s="106"/>
      <c r="P267" s="106"/>
      <c r="Q267" s="106"/>
      <c r="R267" s="106"/>
      <c r="S267" s="91"/>
      <c r="T267" s="91"/>
      <c r="U267" s="91">
        <v>1</v>
      </c>
      <c r="V267" s="91"/>
      <c r="W267" s="91"/>
      <c r="X267" s="106"/>
      <c r="Y267" s="91"/>
      <c r="Z267" s="91"/>
      <c r="AA267" s="91"/>
      <c r="AB267" s="91"/>
      <c r="AC267" s="91"/>
      <c r="AD267" s="91"/>
      <c r="AE267" s="91"/>
      <c r="AF267" s="91"/>
      <c r="AG267" s="91"/>
      <c r="AH267" s="91"/>
      <c r="AI267" s="91"/>
      <c r="AJ267" s="91"/>
      <c r="AK267" s="91"/>
      <c r="AL267" s="91"/>
    </row>
    <row r="268" spans="1:38" ht="13.9" customHeight="1" x14ac:dyDescent="0.15">
      <c r="A268" s="10">
        <v>2026</v>
      </c>
      <c r="B268" s="10">
        <f t="shared" si="80"/>
        <v>5</v>
      </c>
      <c r="C268" s="67">
        <f t="shared" si="107"/>
        <v>46143</v>
      </c>
      <c r="D268" s="36">
        <f t="shared" ref="D268" si="110">IF(WEEKDAY((DATE(A268,B268,1)))&gt;4,(7-(WEEKDAY((DATE(A268,B268,1)))-4))+(DATE(A268,B268,1)),4-WEEKDAY((DATE(A268,B268,1)))+(DATE(A268,B268,1)))+7</f>
        <v>46155</v>
      </c>
      <c r="E268" s="37">
        <f t="shared" si="96"/>
        <v>46155</v>
      </c>
      <c r="F268" s="14" t="str">
        <f t="shared" si="97"/>
        <v>菅野　祐萌</v>
      </c>
      <c r="H268" s="91"/>
      <c r="I268" s="91"/>
      <c r="J268" s="91"/>
      <c r="K268" s="91"/>
      <c r="L268" s="91"/>
      <c r="M268" s="91"/>
      <c r="N268" s="91"/>
      <c r="O268" s="106"/>
      <c r="P268" s="106"/>
      <c r="Q268" s="106"/>
      <c r="R268" s="106"/>
      <c r="S268" s="91">
        <v>1</v>
      </c>
      <c r="T268" s="91"/>
      <c r="U268" s="91"/>
      <c r="V268" s="91"/>
      <c r="W268" s="91"/>
      <c r="X268" s="106"/>
      <c r="Y268" s="91"/>
      <c r="Z268" s="91"/>
      <c r="AA268" s="91"/>
      <c r="AB268" s="91"/>
      <c r="AC268" s="91"/>
      <c r="AD268" s="91"/>
      <c r="AE268" s="91"/>
      <c r="AF268" s="91"/>
      <c r="AG268" s="91"/>
      <c r="AH268" s="91"/>
      <c r="AI268" s="91"/>
      <c r="AJ268" s="91"/>
      <c r="AK268" s="91"/>
      <c r="AL268" s="91"/>
    </row>
    <row r="269" spans="1:38" ht="13.9" customHeight="1" x14ac:dyDescent="0.15">
      <c r="A269" s="10">
        <v>2026</v>
      </c>
      <c r="B269" s="10">
        <f t="shared" si="80"/>
        <v>5</v>
      </c>
      <c r="C269" s="67">
        <f t="shared" si="107"/>
        <v>46143</v>
      </c>
      <c r="D269" s="38">
        <f t="shared" ref="D269" si="111">IF(WEEKDAY(DATE(A269,B269,1))&gt;3,(7-(WEEKDAY(DATE(A269,B269,1))-3))+DATE(A269,B269,1),3-WEEKDAY(DATE(A269,B269,1))+DATE(A269,B269,1))+14</f>
        <v>46161</v>
      </c>
      <c r="E269" s="37">
        <f t="shared" si="96"/>
        <v>46161</v>
      </c>
      <c r="F269" s="14" t="str">
        <f t="shared" si="97"/>
        <v>樫田　尚</v>
      </c>
      <c r="H269" s="91"/>
      <c r="I269" s="91"/>
      <c r="J269" s="91">
        <v>1</v>
      </c>
      <c r="K269" s="91"/>
      <c r="L269" s="91"/>
      <c r="M269" s="91"/>
      <c r="N269" s="91"/>
      <c r="O269" s="106"/>
      <c r="P269" s="106"/>
      <c r="Q269" s="106"/>
      <c r="R269" s="106"/>
      <c r="S269" s="91"/>
      <c r="T269" s="91"/>
      <c r="U269" s="91"/>
      <c r="V269" s="91"/>
      <c r="W269" s="91"/>
      <c r="X269" s="106"/>
      <c r="Y269" s="91"/>
      <c r="Z269" s="91"/>
      <c r="AA269" s="91"/>
      <c r="AB269" s="91"/>
      <c r="AC269" s="91"/>
      <c r="AD269" s="91"/>
      <c r="AE269" s="91"/>
      <c r="AF269" s="91"/>
      <c r="AG269" s="91"/>
      <c r="AH269" s="91"/>
      <c r="AI269" s="91"/>
      <c r="AJ269" s="91"/>
      <c r="AK269" s="91"/>
      <c r="AL269" s="91"/>
    </row>
    <row r="270" spans="1:38" ht="13.9" customHeight="1" x14ac:dyDescent="0.15">
      <c r="A270" s="10">
        <v>2026</v>
      </c>
      <c r="B270" s="10">
        <f t="shared" si="80"/>
        <v>5</v>
      </c>
      <c r="C270" s="67">
        <f t="shared" si="107"/>
        <v>46143</v>
      </c>
      <c r="D270" s="36">
        <f t="shared" ref="D270" si="112">IF(WEEKDAY((DATE(A268,B268,1)))&gt;4,(7-(WEEKDAY((DATE(A268,B268,1)))-4))+(DATE(A268,B268,1)),4-WEEKDAY((DATE(A268,B268,1)))+(DATE(A268,B268,1)))+21</f>
        <v>46169</v>
      </c>
      <c r="E270" s="37">
        <f t="shared" si="96"/>
        <v>46169</v>
      </c>
      <c r="F270" s="14" t="str">
        <f t="shared" si="97"/>
        <v>吉田 汐里</v>
      </c>
      <c r="H270" s="91"/>
      <c r="I270" s="91"/>
      <c r="J270" s="91"/>
      <c r="K270" s="91"/>
      <c r="L270" s="91"/>
      <c r="M270" s="91"/>
      <c r="N270" s="91"/>
      <c r="O270" s="106"/>
      <c r="P270" s="106"/>
      <c r="Q270" s="106"/>
      <c r="R270" s="106"/>
      <c r="S270" s="91"/>
      <c r="T270" s="91"/>
      <c r="U270" s="91"/>
      <c r="V270" s="91"/>
      <c r="W270" s="91"/>
      <c r="X270" s="106"/>
      <c r="Y270" s="91"/>
      <c r="Z270" s="91">
        <v>1</v>
      </c>
      <c r="AA270" s="91"/>
      <c r="AB270" s="91"/>
      <c r="AC270" s="91"/>
      <c r="AD270" s="91"/>
      <c r="AE270" s="91"/>
      <c r="AF270" s="91"/>
      <c r="AG270" s="91"/>
      <c r="AH270" s="91"/>
      <c r="AI270" s="91"/>
      <c r="AJ270" s="91"/>
      <c r="AK270" s="91"/>
      <c r="AL270" s="91"/>
    </row>
    <row r="271" spans="1:38" ht="13.9" customHeight="1" x14ac:dyDescent="0.15">
      <c r="A271" s="10">
        <v>2026</v>
      </c>
      <c r="B271" s="10">
        <f t="shared" si="80"/>
        <v>6</v>
      </c>
      <c r="C271" s="67">
        <f t="shared" si="107"/>
        <v>46174</v>
      </c>
      <c r="D271" s="36">
        <f t="shared" ref="D271" si="113">IF(WEEKDAY((DATE(A271,B271,1)))&gt;4,(7-(WEEKDAY((DATE(A271,B271,1)))-4))+(DATE(A271,B271,1)),4-WEEKDAY((DATE(A271,B271,1)))+(DATE(A271,B271,1)))+7</f>
        <v>46183</v>
      </c>
      <c r="E271" s="37">
        <f t="shared" si="96"/>
        <v>46183</v>
      </c>
      <c r="F271" s="14" t="str">
        <f t="shared" si="97"/>
        <v>長田 弘二</v>
      </c>
      <c r="H271" s="91"/>
      <c r="I271" s="91"/>
      <c r="J271" s="91"/>
      <c r="K271" s="91"/>
      <c r="L271" s="91"/>
      <c r="M271" s="91"/>
      <c r="N271" s="91"/>
      <c r="O271" s="106"/>
      <c r="P271" s="106"/>
      <c r="Q271" s="106"/>
      <c r="R271" s="106"/>
      <c r="S271" s="91"/>
      <c r="T271" s="91"/>
      <c r="U271" s="91"/>
      <c r="V271" s="91">
        <v>1</v>
      </c>
      <c r="W271" s="91"/>
      <c r="X271" s="106"/>
      <c r="Y271" s="91"/>
      <c r="Z271" s="91"/>
      <c r="AA271" s="91"/>
      <c r="AB271" s="91"/>
      <c r="AC271" s="91"/>
      <c r="AD271" s="91"/>
      <c r="AE271" s="91"/>
      <c r="AF271" s="91"/>
      <c r="AG271" s="91"/>
      <c r="AH271" s="91"/>
      <c r="AI271" s="91"/>
      <c r="AJ271" s="91"/>
      <c r="AK271" s="91"/>
      <c r="AL271" s="91"/>
    </row>
    <row r="272" spans="1:38" ht="13.9" customHeight="1" x14ac:dyDescent="0.15">
      <c r="A272" s="10">
        <v>2026</v>
      </c>
      <c r="B272" s="10">
        <f t="shared" si="80"/>
        <v>6</v>
      </c>
      <c r="C272" s="67">
        <f t="shared" si="107"/>
        <v>46174</v>
      </c>
      <c r="D272" s="38">
        <f t="shared" ref="D272" si="114">IF(WEEKDAY(DATE(A272,B272,1))&gt;3,(7-(WEEKDAY(DATE(A272,B272,1))-3))+DATE(A272,B272,1),3-WEEKDAY(DATE(A272,B272,1))+DATE(A272,B272,1))+14</f>
        <v>46189</v>
      </c>
      <c r="E272" s="37">
        <f t="shared" si="96"/>
        <v>46189</v>
      </c>
      <c r="F272" s="14" t="str">
        <f t="shared" si="97"/>
        <v>田村 能之</v>
      </c>
      <c r="H272" s="91"/>
      <c r="I272" s="91"/>
      <c r="J272" s="91"/>
      <c r="K272" s="91"/>
      <c r="L272" s="91"/>
      <c r="M272" s="91"/>
      <c r="N272" s="91"/>
      <c r="O272" s="106"/>
      <c r="P272" s="106"/>
      <c r="Q272" s="106"/>
      <c r="R272" s="106"/>
      <c r="S272" s="91"/>
      <c r="T272" s="91"/>
      <c r="U272" s="91"/>
      <c r="V272" s="91"/>
      <c r="W272" s="91"/>
      <c r="X272" s="106"/>
      <c r="Y272" s="91"/>
      <c r="Z272" s="91"/>
      <c r="AA272" s="91">
        <v>1</v>
      </c>
      <c r="AB272" s="91"/>
      <c r="AC272" s="91"/>
      <c r="AD272" s="91"/>
      <c r="AE272" s="91"/>
      <c r="AF272" s="91"/>
      <c r="AG272" s="91"/>
      <c r="AH272" s="91"/>
      <c r="AI272" s="91"/>
      <c r="AJ272" s="91"/>
      <c r="AK272" s="91"/>
      <c r="AL272" s="91"/>
    </row>
    <row r="273" spans="1:38" ht="13.9" customHeight="1" x14ac:dyDescent="0.15">
      <c r="A273" s="10">
        <v>2026</v>
      </c>
      <c r="B273" s="10">
        <f t="shared" si="80"/>
        <v>6</v>
      </c>
      <c r="C273" s="67">
        <f t="shared" si="107"/>
        <v>46174</v>
      </c>
      <c r="D273" s="36">
        <f t="shared" ref="D273" si="115">IF(WEEKDAY((DATE(A271,B271,1)))&gt;4,(7-(WEEKDAY((DATE(A271,B271,1)))-4))+(DATE(A271,B271,1)),4-WEEKDAY((DATE(A271,B271,1)))+(DATE(A271,B271,1)))+21</f>
        <v>46197</v>
      </c>
      <c r="E273" s="37">
        <f t="shared" si="96"/>
        <v>46197</v>
      </c>
      <c r="F273" s="14" t="str">
        <f t="shared" si="97"/>
        <v>西郡　健太</v>
      </c>
      <c r="H273" s="91"/>
      <c r="I273" s="91"/>
      <c r="J273" s="91"/>
      <c r="K273" s="91"/>
      <c r="L273" s="91"/>
      <c r="M273" s="91"/>
      <c r="N273" s="91"/>
      <c r="O273" s="106"/>
      <c r="P273" s="106"/>
      <c r="Q273" s="106"/>
      <c r="R273" s="106"/>
      <c r="S273" s="91"/>
      <c r="T273" s="91"/>
      <c r="U273" s="91"/>
      <c r="V273" s="91"/>
      <c r="W273" s="91"/>
      <c r="X273" s="106"/>
      <c r="Y273" s="91"/>
      <c r="Z273" s="91"/>
      <c r="AA273" s="91"/>
      <c r="AB273" s="91"/>
      <c r="AC273" s="91"/>
      <c r="AD273" s="91"/>
      <c r="AE273" s="91"/>
      <c r="AF273" s="91"/>
      <c r="AG273" s="91"/>
      <c r="AH273" s="91"/>
      <c r="AI273" s="91">
        <v>1</v>
      </c>
      <c r="AJ273" s="91"/>
      <c r="AK273" s="91"/>
      <c r="AL273" s="91"/>
    </row>
    <row r="274" spans="1:38" ht="13.9" customHeight="1" x14ac:dyDescent="0.15">
      <c r="A274" s="10">
        <v>2026</v>
      </c>
      <c r="B274" s="10">
        <f t="shared" si="80"/>
        <v>7</v>
      </c>
      <c r="C274" s="67">
        <f t="shared" si="107"/>
        <v>46204</v>
      </c>
      <c r="D274" s="36">
        <f t="shared" ref="D274" si="116">IF(WEEKDAY((DATE(A274,B274,1)))&gt;4,(7-(WEEKDAY((DATE(A274,B274,1)))-4))+(DATE(A274,B274,1)),4-WEEKDAY((DATE(A274,B274,1)))+(DATE(A274,B274,1)))+7</f>
        <v>46211</v>
      </c>
      <c r="E274" s="37">
        <f t="shared" si="96"/>
        <v>46211</v>
      </c>
      <c r="F274" s="14" t="str">
        <f t="shared" si="97"/>
        <v>別所　貴仁</v>
      </c>
      <c r="H274" s="91"/>
      <c r="I274" s="91"/>
      <c r="J274" s="91"/>
      <c r="K274" s="91"/>
      <c r="L274" s="91"/>
      <c r="M274" s="91"/>
      <c r="N274" s="91">
        <v>1</v>
      </c>
      <c r="O274" s="106"/>
      <c r="P274" s="106"/>
      <c r="Q274" s="106"/>
      <c r="R274" s="106"/>
      <c r="S274" s="91"/>
      <c r="T274" s="91"/>
      <c r="U274" s="91"/>
      <c r="V274" s="91"/>
      <c r="W274" s="91"/>
      <c r="X274" s="106"/>
      <c r="Y274" s="91"/>
      <c r="Z274" s="91"/>
      <c r="AA274" s="91"/>
      <c r="AB274" s="91"/>
      <c r="AC274" s="91"/>
      <c r="AD274" s="91"/>
      <c r="AE274" s="91"/>
      <c r="AF274" s="91"/>
      <c r="AG274" s="91"/>
      <c r="AH274" s="91"/>
      <c r="AI274" s="91"/>
      <c r="AJ274" s="91"/>
      <c r="AK274" s="91"/>
      <c r="AL274" s="91"/>
    </row>
    <row r="275" spans="1:38" ht="13.9" customHeight="1" x14ac:dyDescent="0.15">
      <c r="A275" s="10">
        <v>2026</v>
      </c>
      <c r="B275" s="10">
        <f t="shared" si="80"/>
        <v>7</v>
      </c>
      <c r="C275" s="67">
        <f t="shared" si="107"/>
        <v>46204</v>
      </c>
      <c r="D275" s="38">
        <f t="shared" ref="D275" si="117">IF(WEEKDAY(DATE(A275,B275,1))&gt;3,(7-(WEEKDAY(DATE(A275,B275,1))-3))+DATE(A275,B275,1),3-WEEKDAY(DATE(A275,B275,1))+DATE(A275,B275,1))+14</f>
        <v>46224</v>
      </c>
      <c r="E275" s="37">
        <f t="shared" si="96"/>
        <v>46224</v>
      </c>
      <c r="F275" s="14" t="str">
        <f t="shared" si="97"/>
        <v>福知　千佳</v>
      </c>
      <c r="H275" s="91"/>
      <c r="I275" s="91"/>
      <c r="J275" s="91"/>
      <c r="K275" s="91"/>
      <c r="L275" s="91">
        <v>1</v>
      </c>
      <c r="M275" s="91"/>
      <c r="N275" s="91"/>
      <c r="O275" s="106"/>
      <c r="P275" s="106"/>
      <c r="Q275" s="106"/>
      <c r="R275" s="106"/>
      <c r="S275" s="91"/>
      <c r="T275" s="91"/>
      <c r="U275" s="91"/>
      <c r="V275" s="91"/>
      <c r="W275" s="91"/>
      <c r="X275" s="106"/>
      <c r="Y275" s="91"/>
      <c r="Z275" s="91"/>
      <c r="AA275" s="91"/>
      <c r="AB275" s="91"/>
      <c r="AC275" s="91"/>
      <c r="AD275" s="91"/>
      <c r="AE275" s="91"/>
      <c r="AF275" s="91"/>
      <c r="AG275" s="91"/>
      <c r="AH275" s="91"/>
      <c r="AI275" s="91"/>
      <c r="AJ275" s="91"/>
      <c r="AK275" s="91"/>
      <c r="AL275" s="91"/>
    </row>
    <row r="276" spans="1:38" ht="13.9" customHeight="1" x14ac:dyDescent="0.15">
      <c r="A276" s="10">
        <v>2026</v>
      </c>
      <c r="B276" s="10">
        <f t="shared" si="80"/>
        <v>7</v>
      </c>
      <c r="C276" s="67">
        <f t="shared" si="107"/>
        <v>46204</v>
      </c>
      <c r="D276" s="36">
        <f t="shared" ref="D276" si="118">IF(WEEKDAY((DATE(A274,B274,1)))&gt;4,(7-(WEEKDAY((DATE(A274,B274,1)))-4))+(DATE(A274,B274,1)),4-WEEKDAY((DATE(A274,B274,1)))+(DATE(A274,B274,1)))+21</f>
        <v>46225</v>
      </c>
      <c r="E276" s="37">
        <f t="shared" si="96"/>
        <v>46225</v>
      </c>
      <c r="F276" s="14" t="str">
        <f t="shared" si="97"/>
        <v>中川　大誠</v>
      </c>
      <c r="H276" s="91"/>
      <c r="I276" s="91"/>
      <c r="J276" s="91"/>
      <c r="K276" s="91"/>
      <c r="L276" s="91"/>
      <c r="M276" s="91"/>
      <c r="N276" s="91"/>
      <c r="O276" s="106"/>
      <c r="P276" s="106"/>
      <c r="Q276" s="106"/>
      <c r="R276" s="106"/>
      <c r="S276" s="91"/>
      <c r="T276" s="91"/>
      <c r="U276" s="91"/>
      <c r="V276" s="91"/>
      <c r="W276" s="91"/>
      <c r="X276" s="106"/>
      <c r="Y276" s="91"/>
      <c r="Z276" s="91"/>
      <c r="AA276" s="91"/>
      <c r="AB276" s="91"/>
      <c r="AC276" s="91"/>
      <c r="AD276" s="91"/>
      <c r="AE276" s="91"/>
      <c r="AF276" s="91">
        <v>1</v>
      </c>
      <c r="AG276" s="91"/>
      <c r="AH276" s="91"/>
      <c r="AI276" s="91"/>
      <c r="AJ276" s="91"/>
      <c r="AK276" s="91"/>
      <c r="AL276" s="91"/>
    </row>
    <row r="277" spans="1:38" ht="13.9" customHeight="1" x14ac:dyDescent="0.15">
      <c r="A277" s="10">
        <v>2026</v>
      </c>
      <c r="B277" s="10">
        <f t="shared" si="80"/>
        <v>8</v>
      </c>
      <c r="C277" s="67">
        <f t="shared" si="107"/>
        <v>46235</v>
      </c>
      <c r="D277" s="36">
        <f t="shared" ref="D277" si="119">IF(WEEKDAY((DATE(A277,B277,1)))&gt;4,(7-(WEEKDAY((DATE(A277,B277,1)))-4))+(DATE(A277,B277,1)),4-WEEKDAY((DATE(A277,B277,1)))+(DATE(A277,B277,1)))+7</f>
        <v>46246</v>
      </c>
      <c r="E277" s="37">
        <f t="shared" si="96"/>
        <v>46246</v>
      </c>
      <c r="F277" s="14" t="str">
        <f t="shared" si="97"/>
        <v>庵　緋沙子</v>
      </c>
      <c r="H277" s="91"/>
      <c r="I277" s="91"/>
      <c r="J277" s="91"/>
      <c r="K277" s="91"/>
      <c r="L277" s="91"/>
      <c r="M277" s="91"/>
      <c r="N277" s="91"/>
      <c r="O277" s="106"/>
      <c r="P277" s="106"/>
      <c r="Q277" s="106"/>
      <c r="R277" s="106"/>
      <c r="S277" s="91"/>
      <c r="T277" s="91"/>
      <c r="U277" s="91"/>
      <c r="V277" s="91"/>
      <c r="W277" s="91"/>
      <c r="X277" s="106"/>
      <c r="Y277" s="91"/>
      <c r="Z277" s="91"/>
      <c r="AA277" s="91"/>
      <c r="AB277" s="91"/>
      <c r="AC277" s="91"/>
      <c r="AD277" s="91"/>
      <c r="AE277" s="91"/>
      <c r="AF277" s="91"/>
      <c r="AG277" s="91"/>
      <c r="AH277" s="91"/>
      <c r="AI277" s="91"/>
      <c r="AJ277" s="91"/>
      <c r="AK277" s="91"/>
      <c r="AL277" s="91">
        <v>1</v>
      </c>
    </row>
    <row r="278" spans="1:38" ht="13.9" customHeight="1" x14ac:dyDescent="0.15">
      <c r="A278" s="10">
        <v>2026</v>
      </c>
      <c r="B278" s="10">
        <f t="shared" si="80"/>
        <v>8</v>
      </c>
      <c r="C278" s="67">
        <f t="shared" si="107"/>
        <v>46235</v>
      </c>
      <c r="D278" s="38">
        <f t="shared" ref="D278" si="120">IF(WEEKDAY(DATE(A278,B278,1))&gt;3,(7-(WEEKDAY(DATE(A278,B278,1))-3))+DATE(A278,B278,1),3-WEEKDAY(DATE(A278,B278,1))+DATE(A278,B278,1))+14</f>
        <v>46252</v>
      </c>
      <c r="E278" s="37">
        <f t="shared" si="96"/>
        <v>46252</v>
      </c>
      <c r="F278" s="14" t="str">
        <f t="shared" si="97"/>
        <v>袋　隼哉</v>
      </c>
      <c r="H278" s="91"/>
      <c r="I278" s="91"/>
      <c r="J278" s="91"/>
      <c r="K278" s="91"/>
      <c r="L278" s="91"/>
      <c r="M278" s="91"/>
      <c r="N278" s="91"/>
      <c r="O278" s="106"/>
      <c r="P278" s="106"/>
      <c r="Q278" s="106"/>
      <c r="R278" s="106"/>
      <c r="S278" s="91"/>
      <c r="T278" s="91">
        <v>1</v>
      </c>
      <c r="U278" s="91"/>
      <c r="V278" s="91"/>
      <c r="W278" s="91"/>
      <c r="X278" s="106"/>
      <c r="Y278" s="91"/>
      <c r="Z278" s="91"/>
      <c r="AA278" s="91"/>
      <c r="AB278" s="91"/>
      <c r="AC278" s="91"/>
      <c r="AD278" s="91"/>
      <c r="AE278" s="91"/>
      <c r="AF278" s="91"/>
      <c r="AG278" s="91"/>
      <c r="AH278" s="91"/>
      <c r="AI278" s="91"/>
      <c r="AJ278" s="91"/>
      <c r="AK278" s="91"/>
      <c r="AL278" s="91"/>
    </row>
    <row r="279" spans="1:38" ht="13.9" customHeight="1" x14ac:dyDescent="0.15">
      <c r="A279" s="10">
        <v>2026</v>
      </c>
      <c r="B279" s="10">
        <f t="shared" si="80"/>
        <v>8</v>
      </c>
      <c r="C279" s="67">
        <f t="shared" si="107"/>
        <v>46235</v>
      </c>
      <c r="D279" s="36">
        <f t="shared" ref="D279" si="121">IF(WEEKDAY((DATE(A277,B277,1)))&gt;4,(7-(WEEKDAY((DATE(A277,B277,1)))-4))+(DATE(A277,B277,1)),4-WEEKDAY((DATE(A277,B277,1)))+(DATE(A277,B277,1)))+21</f>
        <v>46260</v>
      </c>
      <c r="E279" s="37">
        <f t="shared" si="96"/>
        <v>46260</v>
      </c>
      <c r="F279" s="14" t="str">
        <f t="shared" si="97"/>
        <v>林 亮子</v>
      </c>
      <c r="H279" s="91"/>
      <c r="I279" s="91"/>
      <c r="J279" s="91"/>
      <c r="K279" s="91"/>
      <c r="L279" s="91"/>
      <c r="M279" s="91"/>
      <c r="N279" s="91"/>
      <c r="O279" s="106"/>
      <c r="P279" s="106"/>
      <c r="Q279" s="106"/>
      <c r="R279" s="106"/>
      <c r="S279" s="91"/>
      <c r="T279" s="91"/>
      <c r="U279" s="91"/>
      <c r="V279" s="91"/>
      <c r="W279" s="91"/>
      <c r="X279" s="106"/>
      <c r="Y279" s="91">
        <v>1</v>
      </c>
      <c r="Z279" s="91"/>
      <c r="AA279" s="91"/>
      <c r="AB279" s="91"/>
      <c r="AC279" s="91"/>
      <c r="AD279" s="91"/>
      <c r="AE279" s="91"/>
      <c r="AF279" s="91"/>
      <c r="AG279" s="91"/>
      <c r="AH279" s="91"/>
      <c r="AI279" s="91"/>
      <c r="AJ279" s="91"/>
      <c r="AK279" s="91"/>
      <c r="AL279" s="91"/>
    </row>
    <row r="280" spans="1:38" ht="13.9" customHeight="1" x14ac:dyDescent="0.15">
      <c r="A280" s="10">
        <v>2026</v>
      </c>
      <c r="B280" s="10">
        <f t="shared" si="80"/>
        <v>9</v>
      </c>
      <c r="C280" s="67">
        <f t="shared" si="107"/>
        <v>46266</v>
      </c>
      <c r="D280" s="36">
        <f t="shared" ref="D280" si="122">IF(WEEKDAY((DATE(A280,B280,1)))&gt;4,(7-(WEEKDAY((DATE(A280,B280,1)))-4))+(DATE(A280,B280,1)),4-WEEKDAY((DATE(A280,B280,1)))+(DATE(A280,B280,1)))+7</f>
        <v>46274</v>
      </c>
      <c r="E280" s="37">
        <f t="shared" si="96"/>
        <v>46274</v>
      </c>
      <c r="F280" s="14" t="str">
        <f t="shared" si="97"/>
        <v>小竹　祐太朗　</v>
      </c>
      <c r="H280" s="91"/>
      <c r="I280" s="91"/>
      <c r="J280" s="91"/>
      <c r="K280" s="91"/>
      <c r="L280" s="91"/>
      <c r="M280" s="91">
        <v>1</v>
      </c>
      <c r="N280" s="91"/>
      <c r="O280" s="106"/>
      <c r="P280" s="106"/>
      <c r="Q280" s="106"/>
      <c r="R280" s="106"/>
      <c r="S280" s="91"/>
      <c r="T280" s="91"/>
      <c r="U280" s="91"/>
      <c r="V280" s="91"/>
      <c r="W280" s="91"/>
      <c r="X280" s="106"/>
      <c r="Y280" s="91"/>
      <c r="Z280" s="91"/>
      <c r="AA280" s="91"/>
      <c r="AB280" s="91"/>
      <c r="AC280" s="91"/>
      <c r="AD280" s="91"/>
      <c r="AE280" s="91"/>
      <c r="AF280" s="91"/>
      <c r="AG280" s="91"/>
      <c r="AH280" s="91"/>
      <c r="AI280" s="91"/>
      <c r="AJ280" s="91"/>
      <c r="AK280" s="91"/>
      <c r="AL280" s="91"/>
    </row>
    <row r="281" spans="1:38" ht="13.9" customHeight="1" x14ac:dyDescent="0.15">
      <c r="A281" s="10">
        <v>2026</v>
      </c>
      <c r="B281" s="10">
        <f t="shared" si="80"/>
        <v>9</v>
      </c>
      <c r="C281" s="67">
        <f t="shared" si="107"/>
        <v>46266</v>
      </c>
      <c r="D281" s="38">
        <f t="shared" ref="D281" si="123">IF(WEEKDAY(DATE(A281,B281,1))&gt;3,(7-(WEEKDAY(DATE(A281,B281,1))-3))+DATE(A281,B281,1),3-WEEKDAY(DATE(A281,B281,1))+DATE(A281,B281,1))+14</f>
        <v>46280</v>
      </c>
      <c r="E281" s="37">
        <f t="shared" si="96"/>
        <v>46280</v>
      </c>
      <c r="F281" s="14" t="str">
        <f t="shared" si="97"/>
        <v>西明 千織</v>
      </c>
      <c r="H281" s="91">
        <v>1</v>
      </c>
      <c r="I281" s="91"/>
      <c r="J281" s="91"/>
      <c r="K281" s="91"/>
      <c r="L281" s="91"/>
      <c r="M281" s="91"/>
      <c r="N281" s="91"/>
      <c r="O281" s="106"/>
      <c r="P281" s="106"/>
      <c r="Q281" s="106"/>
      <c r="R281" s="106"/>
      <c r="S281" s="91"/>
      <c r="T281" s="91"/>
      <c r="U281" s="91"/>
      <c r="V281" s="91"/>
      <c r="W281" s="91"/>
      <c r="X281" s="106"/>
      <c r="Y281" s="91"/>
      <c r="Z281" s="91"/>
      <c r="AA281" s="91"/>
      <c r="AB281" s="91"/>
      <c r="AC281" s="91"/>
      <c r="AD281" s="91"/>
      <c r="AE281" s="91"/>
      <c r="AF281" s="91"/>
      <c r="AG281" s="91"/>
      <c r="AH281" s="91"/>
      <c r="AI281" s="91"/>
      <c r="AJ281" s="91"/>
      <c r="AK281" s="91"/>
      <c r="AL281" s="91"/>
    </row>
    <row r="282" spans="1:38" ht="13.9" customHeight="1" x14ac:dyDescent="0.15">
      <c r="A282" s="10">
        <v>2026</v>
      </c>
      <c r="B282" s="10">
        <f t="shared" si="80"/>
        <v>9</v>
      </c>
      <c r="C282" s="67">
        <f t="shared" si="107"/>
        <v>46266</v>
      </c>
      <c r="D282" s="36">
        <f t="shared" ref="D282" si="124">IF(WEEKDAY((DATE(A280,B280,1)))&gt;4,(7-(WEEKDAY((DATE(A280,B280,1)))-4))+(DATE(A280,B280,1)),4-WEEKDAY((DATE(A280,B280,1)))+(DATE(A280,B280,1)))+21</f>
        <v>46288</v>
      </c>
      <c r="E282" s="37">
        <f t="shared" si="96"/>
        <v>46288</v>
      </c>
      <c r="F282" s="14" t="str">
        <f t="shared" si="97"/>
        <v>齊藤 久紘</v>
      </c>
      <c r="H282" s="91"/>
      <c r="I282" s="91"/>
      <c r="J282" s="91"/>
      <c r="K282" s="91"/>
      <c r="L282" s="91"/>
      <c r="M282" s="91"/>
      <c r="N282" s="91"/>
      <c r="O282" s="106"/>
      <c r="P282" s="106"/>
      <c r="Q282" s="106"/>
      <c r="R282" s="106"/>
      <c r="S282" s="91"/>
      <c r="T282" s="91"/>
      <c r="U282" s="91"/>
      <c r="V282" s="91"/>
      <c r="W282" s="91"/>
      <c r="X282" s="106"/>
      <c r="Y282" s="91"/>
      <c r="Z282" s="91"/>
      <c r="AA282" s="91"/>
      <c r="AB282" s="91">
        <v>1</v>
      </c>
      <c r="AC282" s="91"/>
      <c r="AD282" s="91"/>
      <c r="AE282" s="91"/>
      <c r="AF282" s="91"/>
      <c r="AG282" s="91"/>
      <c r="AH282" s="91"/>
      <c r="AI282" s="91"/>
      <c r="AJ282" s="91"/>
      <c r="AK282" s="91"/>
      <c r="AL282" s="91"/>
    </row>
    <row r="283" spans="1:38" ht="13.9" customHeight="1" x14ac:dyDescent="0.15">
      <c r="A283" s="10">
        <v>2026</v>
      </c>
      <c r="B283" s="10">
        <f t="shared" si="80"/>
        <v>10</v>
      </c>
      <c r="C283" s="67">
        <f t="shared" si="107"/>
        <v>46296</v>
      </c>
      <c r="D283" s="36">
        <f t="shared" ref="D283" si="125">IF(WEEKDAY((DATE(A283,B283,1)))&gt;4,(7-(WEEKDAY((DATE(A283,B283,1)))-4))+(DATE(A283,B283,1)),4-WEEKDAY((DATE(A283,B283,1)))+(DATE(A283,B283,1)))+7</f>
        <v>46309</v>
      </c>
      <c r="E283" s="37">
        <f t="shared" si="96"/>
        <v>46309</v>
      </c>
      <c r="F283" s="14" t="str">
        <f t="shared" si="97"/>
        <v>袋　隼哉</v>
      </c>
      <c r="H283" s="91"/>
      <c r="I283" s="91"/>
      <c r="J283" s="91"/>
      <c r="K283" s="91"/>
      <c r="L283" s="91"/>
      <c r="M283" s="91"/>
      <c r="N283" s="91"/>
      <c r="O283" s="106"/>
      <c r="P283" s="106"/>
      <c r="Q283" s="106"/>
      <c r="R283" s="106"/>
      <c r="S283" s="91"/>
      <c r="T283" s="91">
        <v>1</v>
      </c>
      <c r="U283" s="91"/>
      <c r="V283" s="91"/>
      <c r="W283" s="91"/>
      <c r="X283" s="106"/>
      <c r="Y283" s="91"/>
      <c r="Z283" s="91"/>
      <c r="AA283" s="91"/>
      <c r="AB283" s="91"/>
      <c r="AC283" s="91"/>
      <c r="AD283" s="91"/>
      <c r="AE283" s="91"/>
      <c r="AF283" s="91"/>
      <c r="AG283" s="91"/>
      <c r="AH283" s="91"/>
      <c r="AI283" s="91"/>
      <c r="AJ283" s="91"/>
      <c r="AK283" s="91"/>
      <c r="AL283" s="91"/>
    </row>
    <row r="284" spans="1:38" ht="13.9" customHeight="1" x14ac:dyDescent="0.15">
      <c r="A284" s="10">
        <v>2026</v>
      </c>
      <c r="B284" s="10">
        <f t="shared" si="80"/>
        <v>10</v>
      </c>
      <c r="C284" s="67">
        <f t="shared" si="107"/>
        <v>46296</v>
      </c>
      <c r="D284" s="38">
        <f t="shared" ref="D284" si="126">IF(WEEKDAY(DATE(A284,B284,1))&gt;3,(7-(WEEKDAY(DATE(A284,B284,1))-3))+DATE(A284,B284,1),3-WEEKDAY(DATE(A284,B284,1))+DATE(A284,B284,1))+14</f>
        <v>46315</v>
      </c>
      <c r="E284" s="37">
        <f t="shared" si="96"/>
        <v>46315</v>
      </c>
      <c r="F284" s="14" t="str">
        <f t="shared" si="97"/>
        <v>諸田　悠也</v>
      </c>
      <c r="H284" s="91"/>
      <c r="I284" s="91"/>
      <c r="J284" s="91"/>
      <c r="K284" s="91"/>
      <c r="L284" s="91"/>
      <c r="M284" s="91"/>
      <c r="N284" s="91"/>
      <c r="O284" s="106"/>
      <c r="P284" s="106"/>
      <c r="Q284" s="106"/>
      <c r="R284" s="106"/>
      <c r="S284" s="91"/>
      <c r="T284" s="91"/>
      <c r="U284" s="91"/>
      <c r="V284" s="91"/>
      <c r="W284" s="91"/>
      <c r="X284" s="106"/>
      <c r="Y284" s="91"/>
      <c r="Z284" s="91"/>
      <c r="AA284" s="91"/>
      <c r="AB284" s="91"/>
      <c r="AC284" s="91"/>
      <c r="AD284" s="91"/>
      <c r="AE284" s="91"/>
      <c r="AF284" s="91"/>
      <c r="AG284" s="91"/>
      <c r="AH284" s="91"/>
      <c r="AI284" s="91"/>
      <c r="AJ284" s="91"/>
      <c r="AK284" s="91">
        <v>1</v>
      </c>
      <c r="AL284" s="91"/>
    </row>
    <row r="285" spans="1:38" ht="13.9" customHeight="1" x14ac:dyDescent="0.15">
      <c r="A285" s="10">
        <v>2026</v>
      </c>
      <c r="B285" s="10">
        <f t="shared" si="80"/>
        <v>10</v>
      </c>
      <c r="C285" s="67">
        <f t="shared" si="107"/>
        <v>46296</v>
      </c>
      <c r="D285" s="36">
        <f t="shared" ref="D285" si="127">IF(WEEKDAY((DATE(A283,B283,1)))&gt;4,(7-(WEEKDAY((DATE(A283,B283,1)))-4))+(DATE(A283,B283,1)),4-WEEKDAY((DATE(A283,B283,1)))+(DATE(A283,B283,1)))+21</f>
        <v>46323</v>
      </c>
      <c r="E285" s="37">
        <f t="shared" si="96"/>
        <v>46323</v>
      </c>
      <c r="F285" s="14" t="str">
        <f t="shared" si="97"/>
        <v>中川　大誠</v>
      </c>
      <c r="H285" s="91"/>
      <c r="I285" s="91"/>
      <c r="J285" s="91"/>
      <c r="K285" s="91"/>
      <c r="L285" s="91"/>
      <c r="M285" s="91"/>
      <c r="N285" s="91"/>
      <c r="O285" s="106"/>
      <c r="P285" s="106"/>
      <c r="Q285" s="106"/>
      <c r="R285" s="106"/>
      <c r="S285" s="91"/>
      <c r="T285" s="91"/>
      <c r="U285" s="91"/>
      <c r="V285" s="91"/>
      <c r="W285" s="91"/>
      <c r="X285" s="106"/>
      <c r="Y285" s="91"/>
      <c r="Z285" s="91"/>
      <c r="AA285" s="91"/>
      <c r="AB285" s="91"/>
      <c r="AC285" s="91"/>
      <c r="AD285" s="91"/>
      <c r="AE285" s="91"/>
      <c r="AF285" s="91">
        <v>1</v>
      </c>
      <c r="AG285" s="91"/>
      <c r="AH285" s="91"/>
      <c r="AI285" s="91"/>
      <c r="AJ285" s="91"/>
      <c r="AK285" s="91"/>
      <c r="AL285" s="91"/>
    </row>
    <row r="286" spans="1:38" ht="13.9" customHeight="1" x14ac:dyDescent="0.15">
      <c r="A286" s="10">
        <v>2026</v>
      </c>
      <c r="B286" s="10">
        <f t="shared" si="80"/>
        <v>11</v>
      </c>
      <c r="C286" s="67">
        <f t="shared" si="107"/>
        <v>46327</v>
      </c>
      <c r="D286" s="36">
        <f t="shared" ref="D286" si="128">IF(WEEKDAY((DATE(A286,B286,1)))&gt;4,(7-(WEEKDAY((DATE(A286,B286,1)))-4))+(DATE(A286,B286,1)),4-WEEKDAY((DATE(A286,B286,1)))+(DATE(A286,B286,1)))+7</f>
        <v>46337</v>
      </c>
      <c r="E286" s="37">
        <f t="shared" si="96"/>
        <v>46337</v>
      </c>
      <c r="F286" s="14" t="str">
        <f t="shared" si="97"/>
        <v/>
      </c>
      <c r="H286" s="91"/>
      <c r="I286" s="91"/>
      <c r="J286" s="91"/>
      <c r="K286" s="91"/>
      <c r="L286" s="91"/>
      <c r="M286" s="91"/>
      <c r="N286" s="91"/>
      <c r="O286" s="106"/>
      <c r="P286" s="106"/>
      <c r="Q286" s="106"/>
      <c r="R286" s="106"/>
      <c r="S286" s="91"/>
      <c r="T286" s="91"/>
      <c r="U286" s="91"/>
      <c r="V286" s="91"/>
      <c r="W286" s="91"/>
      <c r="X286" s="106"/>
      <c r="Y286" s="91"/>
      <c r="Z286" s="91"/>
      <c r="AA286" s="91"/>
      <c r="AB286" s="91"/>
      <c r="AC286" s="91"/>
      <c r="AD286" s="91"/>
      <c r="AE286" s="91"/>
      <c r="AF286" s="91"/>
      <c r="AG286" s="91"/>
      <c r="AH286" s="91"/>
      <c r="AI286" s="91"/>
      <c r="AJ286" s="91"/>
      <c r="AK286" s="91"/>
      <c r="AL286" s="91"/>
    </row>
    <row r="287" spans="1:38" ht="13.9" customHeight="1" x14ac:dyDescent="0.15">
      <c r="A287" s="10">
        <v>2026</v>
      </c>
      <c r="B287" s="10">
        <f t="shared" si="80"/>
        <v>11</v>
      </c>
      <c r="C287" s="67">
        <f t="shared" si="107"/>
        <v>46327</v>
      </c>
      <c r="D287" s="38">
        <f t="shared" ref="D287" si="129">IF(WEEKDAY(DATE(A287,B287,1))&gt;3,(7-(WEEKDAY(DATE(A287,B287,1))-3))+DATE(A287,B287,1),3-WEEKDAY(DATE(A287,B287,1))+DATE(A287,B287,1))+14</f>
        <v>46343</v>
      </c>
      <c r="E287" s="37">
        <f t="shared" si="96"/>
        <v>46343</v>
      </c>
      <c r="F287" s="14" t="str">
        <f t="shared" si="97"/>
        <v/>
      </c>
      <c r="H287" s="91"/>
      <c r="I287" s="91"/>
      <c r="J287" s="91"/>
      <c r="K287" s="91"/>
      <c r="L287" s="91"/>
      <c r="M287" s="91"/>
      <c r="N287" s="91"/>
      <c r="O287" s="106"/>
      <c r="P287" s="106"/>
      <c r="Q287" s="106"/>
      <c r="R287" s="106"/>
      <c r="S287" s="91"/>
      <c r="T287" s="91"/>
      <c r="U287" s="91"/>
      <c r="V287" s="91"/>
      <c r="W287" s="91"/>
      <c r="X287" s="106"/>
      <c r="Y287" s="91"/>
      <c r="Z287" s="91"/>
      <c r="AA287" s="91"/>
      <c r="AB287" s="91"/>
      <c r="AC287" s="91"/>
      <c r="AD287" s="91"/>
      <c r="AE287" s="91"/>
      <c r="AF287" s="91"/>
      <c r="AG287" s="91"/>
      <c r="AH287" s="91"/>
      <c r="AI287" s="91"/>
      <c r="AJ287" s="91"/>
      <c r="AK287" s="91"/>
      <c r="AL287" s="91"/>
    </row>
    <row r="288" spans="1:38" ht="13.9" customHeight="1" x14ac:dyDescent="0.15">
      <c r="A288" s="10">
        <v>2026</v>
      </c>
      <c r="B288" s="10">
        <f t="shared" si="80"/>
        <v>11</v>
      </c>
      <c r="C288" s="67">
        <f t="shared" si="107"/>
        <v>46327</v>
      </c>
      <c r="D288" s="36">
        <f t="shared" ref="D288" si="130">IF(WEEKDAY((DATE(A286,B286,1)))&gt;4,(7-(WEEKDAY((DATE(A286,B286,1)))-4))+(DATE(A286,B286,1)),4-WEEKDAY((DATE(A286,B286,1)))+(DATE(A286,B286,1)))+21</f>
        <v>46351</v>
      </c>
      <c r="E288" s="37">
        <f t="shared" si="96"/>
        <v>46351</v>
      </c>
      <c r="F288" s="14" t="str">
        <f t="shared" si="97"/>
        <v/>
      </c>
      <c r="H288" s="91"/>
      <c r="I288" s="91"/>
      <c r="J288" s="91"/>
      <c r="K288" s="91"/>
      <c r="L288" s="91"/>
      <c r="M288" s="91"/>
      <c r="N288" s="91"/>
      <c r="O288" s="106"/>
      <c r="P288" s="106"/>
      <c r="Q288" s="106"/>
      <c r="R288" s="106"/>
      <c r="S288" s="91"/>
      <c r="T288" s="91"/>
      <c r="U288" s="91"/>
      <c r="V288" s="91"/>
      <c r="W288" s="91"/>
      <c r="X288" s="106"/>
      <c r="Y288" s="91"/>
      <c r="Z288" s="91"/>
      <c r="AA288" s="91"/>
      <c r="AB288" s="91"/>
      <c r="AC288" s="91"/>
      <c r="AD288" s="91"/>
      <c r="AE288" s="91"/>
      <c r="AF288" s="91"/>
      <c r="AG288" s="91"/>
      <c r="AH288" s="91"/>
      <c r="AI288" s="91"/>
      <c r="AJ288" s="91"/>
      <c r="AK288" s="91"/>
      <c r="AL288" s="91"/>
    </row>
    <row r="289" spans="1:38" ht="13.9" customHeight="1" x14ac:dyDescent="0.15">
      <c r="A289" s="10">
        <v>2026</v>
      </c>
      <c r="B289" s="10">
        <f t="shared" si="80"/>
        <v>12</v>
      </c>
      <c r="C289" s="67">
        <f t="shared" si="107"/>
        <v>46357</v>
      </c>
      <c r="D289" s="36">
        <f t="shared" ref="D289" si="131">IF(WEEKDAY((DATE(A289,B289,1)))&gt;4,(7-(WEEKDAY((DATE(A289,B289,1)))-4))+(DATE(A289,B289,1)),4-WEEKDAY((DATE(A289,B289,1)))+(DATE(A289,B289,1)))+7</f>
        <v>46365</v>
      </c>
      <c r="E289" s="37">
        <f t="shared" si="96"/>
        <v>46365</v>
      </c>
      <c r="F289" s="14" t="str">
        <f t="shared" si="97"/>
        <v/>
      </c>
      <c r="H289" s="91"/>
      <c r="I289" s="91"/>
      <c r="J289" s="91"/>
      <c r="K289" s="91"/>
      <c r="L289" s="91"/>
      <c r="M289" s="91"/>
      <c r="N289" s="91"/>
      <c r="O289" s="106"/>
      <c r="P289" s="106"/>
      <c r="Q289" s="106"/>
      <c r="R289" s="106"/>
      <c r="S289" s="91"/>
      <c r="T289" s="91"/>
      <c r="U289" s="91"/>
      <c r="V289" s="91"/>
      <c r="W289" s="91"/>
      <c r="X289" s="106"/>
      <c r="Y289" s="91"/>
      <c r="Z289" s="91"/>
      <c r="AA289" s="91"/>
      <c r="AB289" s="91"/>
      <c r="AC289" s="91"/>
      <c r="AD289" s="91"/>
      <c r="AE289" s="91"/>
      <c r="AF289" s="91"/>
      <c r="AG289" s="91"/>
      <c r="AH289" s="91"/>
      <c r="AI289" s="91"/>
      <c r="AJ289" s="91"/>
      <c r="AK289" s="91"/>
      <c r="AL289" s="91"/>
    </row>
    <row r="290" spans="1:38" ht="13.9" customHeight="1" x14ac:dyDescent="0.15">
      <c r="A290" s="10">
        <v>2026</v>
      </c>
      <c r="B290" s="10">
        <f t="shared" si="80"/>
        <v>12</v>
      </c>
      <c r="C290" s="67">
        <f t="shared" si="107"/>
        <v>46357</v>
      </c>
      <c r="D290" s="38">
        <f t="shared" ref="D290" si="132">IF(WEEKDAY(DATE(A290,B290,1))&gt;3,(7-(WEEKDAY(DATE(A290,B290,1))-3))+DATE(A290,B290,1),3-WEEKDAY(DATE(A290,B290,1))+DATE(A290,B290,1))+14</f>
        <v>46371</v>
      </c>
      <c r="E290" s="37">
        <f t="shared" si="96"/>
        <v>46371</v>
      </c>
      <c r="F290" s="14" t="str">
        <f t="shared" si="97"/>
        <v/>
      </c>
      <c r="H290" s="91"/>
      <c r="I290" s="91"/>
      <c r="J290" s="91"/>
      <c r="K290" s="91"/>
      <c r="L290" s="91"/>
      <c r="M290" s="91"/>
      <c r="N290" s="91"/>
      <c r="O290" s="106"/>
      <c r="P290" s="106"/>
      <c r="Q290" s="106"/>
      <c r="R290" s="106"/>
      <c r="S290" s="91"/>
      <c r="T290" s="91"/>
      <c r="U290" s="91"/>
      <c r="V290" s="91"/>
      <c r="W290" s="91"/>
      <c r="X290" s="106"/>
      <c r="Y290" s="91"/>
      <c r="Z290" s="91"/>
      <c r="AA290" s="91"/>
      <c r="AB290" s="91"/>
      <c r="AC290" s="91"/>
      <c r="AD290" s="91"/>
      <c r="AE290" s="91"/>
      <c r="AF290" s="91"/>
      <c r="AG290" s="91"/>
      <c r="AH290" s="91"/>
      <c r="AI290" s="91"/>
      <c r="AJ290" s="91"/>
      <c r="AK290" s="91"/>
      <c r="AL290" s="91"/>
    </row>
    <row r="291" spans="1:38" ht="13.9" customHeight="1" x14ac:dyDescent="0.15">
      <c r="A291" s="10">
        <v>2026</v>
      </c>
      <c r="B291" s="10">
        <f t="shared" si="80"/>
        <v>12</v>
      </c>
      <c r="C291" s="67">
        <f t="shared" si="107"/>
        <v>46357</v>
      </c>
      <c r="D291" s="36">
        <f t="shared" ref="D291" si="133">IF(WEEKDAY((DATE(A289,B289,1)))&gt;4,(7-(WEEKDAY((DATE(A289,B289,1)))-4))+(DATE(A289,B289,1)),4-WEEKDAY((DATE(A289,B289,1)))+(DATE(A289,B289,1)))+21</f>
        <v>46379</v>
      </c>
      <c r="E291" s="37">
        <f t="shared" si="96"/>
        <v>46379</v>
      </c>
      <c r="F291" s="14" t="str">
        <f t="shared" si="97"/>
        <v/>
      </c>
      <c r="H291" s="91"/>
      <c r="I291" s="91"/>
      <c r="J291" s="91"/>
      <c r="K291" s="91"/>
      <c r="L291" s="91"/>
      <c r="M291" s="91"/>
      <c r="N291" s="91"/>
      <c r="O291" s="106"/>
      <c r="P291" s="106"/>
      <c r="Q291" s="106"/>
      <c r="R291" s="106"/>
      <c r="S291" s="91"/>
      <c r="T291" s="91"/>
      <c r="U291" s="91"/>
      <c r="V291" s="91"/>
      <c r="W291" s="91"/>
      <c r="X291" s="106"/>
      <c r="Y291" s="91"/>
      <c r="Z291" s="91"/>
      <c r="AA291" s="91"/>
      <c r="AB291" s="91"/>
      <c r="AC291" s="91"/>
      <c r="AD291" s="91"/>
      <c r="AE291" s="91"/>
      <c r="AF291" s="91"/>
      <c r="AG291" s="91"/>
      <c r="AH291" s="91"/>
      <c r="AI291" s="91"/>
      <c r="AJ291" s="91"/>
      <c r="AK291" s="91"/>
      <c r="AL291" s="91"/>
    </row>
    <row r="292" spans="1:38" ht="13.9" customHeight="1" x14ac:dyDescent="0.15">
      <c r="A292" s="10">
        <v>2027</v>
      </c>
      <c r="B292" s="10">
        <f t="shared" si="80"/>
        <v>1</v>
      </c>
      <c r="C292" s="67">
        <f t="shared" si="107"/>
        <v>46388</v>
      </c>
      <c r="D292" s="36">
        <f t="shared" ref="D292" si="134">IF(WEEKDAY((DATE(A292,B292,1)))&gt;4,(7-(WEEKDAY((DATE(A292,B292,1)))-4))+(DATE(A292,B292,1)),4-WEEKDAY((DATE(A292,B292,1)))+(DATE(A292,B292,1)))+7</f>
        <v>46400</v>
      </c>
      <c r="E292" s="37">
        <f t="shared" si="96"/>
        <v>46400</v>
      </c>
      <c r="F292" s="14" t="str">
        <f t="shared" si="97"/>
        <v/>
      </c>
      <c r="H292" s="91"/>
      <c r="I292" s="91"/>
      <c r="J292" s="91"/>
      <c r="K292" s="91"/>
      <c r="L292" s="91"/>
      <c r="M292" s="91"/>
      <c r="N292" s="91"/>
      <c r="O292" s="106"/>
      <c r="P292" s="106"/>
      <c r="Q292" s="106"/>
      <c r="R292" s="106"/>
      <c r="S292" s="91"/>
      <c r="T292" s="91"/>
      <c r="U292" s="91"/>
      <c r="V292" s="91"/>
      <c r="W292" s="91"/>
      <c r="X292" s="106"/>
      <c r="Y292" s="91"/>
      <c r="Z292" s="91"/>
      <c r="AA292" s="91"/>
      <c r="AB292" s="91"/>
      <c r="AC292" s="91"/>
      <c r="AD292" s="91"/>
      <c r="AE292" s="91"/>
      <c r="AF292" s="91"/>
      <c r="AG292" s="91"/>
      <c r="AH292" s="91"/>
      <c r="AI292" s="91"/>
      <c r="AJ292" s="91"/>
      <c r="AK292" s="91"/>
      <c r="AL292" s="91"/>
    </row>
    <row r="293" spans="1:38" ht="13.9" customHeight="1" x14ac:dyDescent="0.15">
      <c r="A293" s="10">
        <v>2027</v>
      </c>
      <c r="B293" s="10">
        <f t="shared" si="80"/>
        <v>1</v>
      </c>
      <c r="C293" s="67">
        <f t="shared" si="107"/>
        <v>46388</v>
      </c>
      <c r="D293" s="38">
        <f t="shared" ref="D293" si="135">IF(WEEKDAY(DATE(A293,B293,1))&gt;3,(7-(WEEKDAY(DATE(A293,B293,1))-3))+DATE(A293,B293,1),3-WEEKDAY(DATE(A293,B293,1))+DATE(A293,B293,1))+14</f>
        <v>46406</v>
      </c>
      <c r="E293" s="37">
        <f t="shared" si="96"/>
        <v>46406</v>
      </c>
      <c r="F293" s="14" t="str">
        <f t="shared" si="97"/>
        <v/>
      </c>
      <c r="H293" s="91"/>
      <c r="I293" s="91"/>
      <c r="J293" s="91"/>
      <c r="K293" s="91"/>
      <c r="L293" s="91"/>
      <c r="M293" s="91"/>
      <c r="N293" s="91"/>
      <c r="O293" s="106"/>
      <c r="P293" s="106"/>
      <c r="Q293" s="106"/>
      <c r="R293" s="106"/>
      <c r="S293" s="91"/>
      <c r="T293" s="91"/>
      <c r="U293" s="91"/>
      <c r="V293" s="91"/>
      <c r="W293" s="91"/>
      <c r="X293" s="106"/>
      <c r="Y293" s="91"/>
      <c r="Z293" s="91"/>
      <c r="AA293" s="91"/>
      <c r="AB293" s="91"/>
      <c r="AC293" s="91"/>
      <c r="AD293" s="91"/>
      <c r="AE293" s="91"/>
      <c r="AF293" s="91"/>
      <c r="AG293" s="91"/>
      <c r="AH293" s="91"/>
      <c r="AI293" s="91"/>
      <c r="AJ293" s="91"/>
      <c r="AK293" s="91"/>
      <c r="AL293" s="91"/>
    </row>
    <row r="294" spans="1:38" ht="13.9" customHeight="1" x14ac:dyDescent="0.15">
      <c r="A294" s="10">
        <v>2027</v>
      </c>
      <c r="B294" s="10">
        <f t="shared" si="80"/>
        <v>1</v>
      </c>
      <c r="C294" s="67">
        <f t="shared" si="107"/>
        <v>46388</v>
      </c>
      <c r="D294" s="36">
        <f t="shared" ref="D294" si="136">IF(WEEKDAY((DATE(A292,B292,1)))&gt;4,(7-(WEEKDAY((DATE(A292,B292,1)))-4))+(DATE(A292,B292,1)),4-WEEKDAY((DATE(A292,B292,1)))+(DATE(A292,B292,1)))+21</f>
        <v>46414</v>
      </c>
      <c r="E294" s="37">
        <f t="shared" si="96"/>
        <v>46414</v>
      </c>
      <c r="F294" s="14" t="str">
        <f t="shared" si="97"/>
        <v/>
      </c>
      <c r="H294" s="91"/>
      <c r="I294" s="91"/>
      <c r="J294" s="91"/>
      <c r="K294" s="91"/>
      <c r="L294" s="91"/>
      <c r="M294" s="91"/>
      <c r="N294" s="91"/>
      <c r="O294" s="106"/>
      <c r="P294" s="106"/>
      <c r="Q294" s="106"/>
      <c r="R294" s="106"/>
      <c r="S294" s="91"/>
      <c r="T294" s="91"/>
      <c r="U294" s="91"/>
      <c r="V294" s="91"/>
      <c r="W294" s="91"/>
      <c r="X294" s="106"/>
      <c r="Y294" s="91"/>
      <c r="Z294" s="91"/>
      <c r="AA294" s="91"/>
      <c r="AB294" s="91"/>
      <c r="AC294" s="91"/>
      <c r="AD294" s="91"/>
      <c r="AE294" s="91"/>
      <c r="AF294" s="91"/>
      <c r="AG294" s="91"/>
      <c r="AH294" s="91"/>
      <c r="AI294" s="91"/>
      <c r="AJ294" s="91"/>
      <c r="AK294" s="91"/>
      <c r="AL294" s="91"/>
    </row>
    <row r="295" spans="1:38" ht="13.9" customHeight="1" x14ac:dyDescent="0.15">
      <c r="A295" s="10">
        <v>2027</v>
      </c>
      <c r="B295" s="10">
        <f t="shared" si="80"/>
        <v>2</v>
      </c>
      <c r="C295" s="67">
        <f t="shared" si="107"/>
        <v>46419</v>
      </c>
      <c r="D295" s="36">
        <f t="shared" ref="D295" si="137">IF(WEEKDAY((DATE(A295,B295,1)))&gt;4,(7-(WEEKDAY((DATE(A295,B295,1)))-4))+(DATE(A295,B295,1)),4-WEEKDAY((DATE(A295,B295,1)))+(DATE(A295,B295,1)))+7</f>
        <v>46428</v>
      </c>
      <c r="E295" s="37">
        <f t="shared" si="96"/>
        <v>46428</v>
      </c>
      <c r="F295" s="14" t="str">
        <f t="shared" si="97"/>
        <v/>
      </c>
      <c r="H295" s="91"/>
      <c r="I295" s="91"/>
      <c r="J295" s="91"/>
      <c r="K295" s="91"/>
      <c r="L295" s="91"/>
      <c r="M295" s="91"/>
      <c r="N295" s="91"/>
      <c r="O295" s="106"/>
      <c r="P295" s="106"/>
      <c r="Q295" s="106"/>
      <c r="R295" s="106"/>
      <c r="S295" s="91"/>
      <c r="T295" s="91"/>
      <c r="U295" s="91"/>
      <c r="V295" s="91"/>
      <c r="W295" s="91"/>
      <c r="X295" s="106"/>
      <c r="Y295" s="91"/>
      <c r="Z295" s="91"/>
      <c r="AA295" s="91"/>
      <c r="AB295" s="91"/>
      <c r="AC295" s="91"/>
      <c r="AD295" s="91"/>
      <c r="AE295" s="91"/>
      <c r="AF295" s="91"/>
      <c r="AG295" s="91"/>
      <c r="AH295" s="91"/>
      <c r="AI295" s="91"/>
      <c r="AJ295" s="91"/>
      <c r="AK295" s="91"/>
      <c r="AL295" s="91"/>
    </row>
    <row r="296" spans="1:38" ht="13.9" customHeight="1" x14ac:dyDescent="0.15">
      <c r="A296" s="10">
        <v>2027</v>
      </c>
      <c r="B296" s="10">
        <f t="shared" si="80"/>
        <v>2</v>
      </c>
      <c r="C296" s="67">
        <f t="shared" si="107"/>
        <v>46419</v>
      </c>
      <c r="D296" s="38">
        <f t="shared" ref="D296" si="138">IF(WEEKDAY(DATE(A296,B296,1))&gt;3,(7-(WEEKDAY(DATE(A296,B296,1))-3))+DATE(A296,B296,1),3-WEEKDAY(DATE(A296,B296,1))+DATE(A296,B296,1))+14</f>
        <v>46434</v>
      </c>
      <c r="E296" s="37">
        <f t="shared" si="96"/>
        <v>46434</v>
      </c>
      <c r="F296" s="14" t="str">
        <f t="shared" si="97"/>
        <v/>
      </c>
      <c r="H296" s="91"/>
      <c r="I296" s="91"/>
      <c r="J296" s="91"/>
      <c r="K296" s="91"/>
      <c r="L296" s="91"/>
      <c r="M296" s="91"/>
      <c r="N296" s="91"/>
      <c r="O296" s="106"/>
      <c r="P296" s="106"/>
      <c r="Q296" s="106"/>
      <c r="R296" s="106"/>
      <c r="S296" s="91"/>
      <c r="T296" s="91"/>
      <c r="U296" s="91"/>
      <c r="V296" s="91"/>
      <c r="W296" s="91"/>
      <c r="X296" s="106"/>
      <c r="Y296" s="91"/>
      <c r="Z296" s="91"/>
      <c r="AA296" s="91"/>
      <c r="AB296" s="91"/>
      <c r="AC296" s="91"/>
      <c r="AD296" s="91"/>
      <c r="AE296" s="91"/>
      <c r="AF296" s="91"/>
      <c r="AG296" s="91"/>
      <c r="AH296" s="91"/>
      <c r="AI296" s="91"/>
      <c r="AJ296" s="91"/>
      <c r="AK296" s="91"/>
      <c r="AL296" s="91"/>
    </row>
    <row r="297" spans="1:38" ht="13.9" customHeight="1" x14ac:dyDescent="0.15">
      <c r="A297" s="10">
        <v>2027</v>
      </c>
      <c r="B297" s="10">
        <f t="shared" si="80"/>
        <v>2</v>
      </c>
      <c r="C297" s="67">
        <f t="shared" si="107"/>
        <v>46419</v>
      </c>
      <c r="D297" s="36">
        <f t="shared" ref="D297" si="139">IF(WEEKDAY((DATE(A295,B295,1)))&gt;4,(7-(WEEKDAY((DATE(A295,B295,1)))-4))+(DATE(A295,B295,1)),4-WEEKDAY((DATE(A295,B295,1)))+(DATE(A295,B295,1)))+21</f>
        <v>46442</v>
      </c>
      <c r="E297" s="37">
        <f t="shared" si="96"/>
        <v>46442</v>
      </c>
      <c r="F297" s="14" t="str">
        <f t="shared" si="97"/>
        <v/>
      </c>
      <c r="H297" s="91"/>
      <c r="I297" s="91"/>
      <c r="J297" s="91"/>
      <c r="K297" s="91"/>
      <c r="L297" s="91"/>
      <c r="M297" s="91"/>
      <c r="N297" s="91"/>
      <c r="O297" s="106"/>
      <c r="P297" s="106"/>
      <c r="Q297" s="106"/>
      <c r="R297" s="106"/>
      <c r="S297" s="91"/>
      <c r="T297" s="91"/>
      <c r="U297" s="91"/>
      <c r="V297" s="91"/>
      <c r="W297" s="91"/>
      <c r="X297" s="106"/>
      <c r="Y297" s="91"/>
      <c r="Z297" s="91"/>
      <c r="AA297" s="91"/>
      <c r="AB297" s="91"/>
      <c r="AC297" s="91"/>
      <c r="AD297" s="91"/>
      <c r="AE297" s="91"/>
      <c r="AF297" s="91"/>
      <c r="AG297" s="91"/>
      <c r="AH297" s="91"/>
      <c r="AI297" s="91"/>
      <c r="AJ297" s="91"/>
      <c r="AK297" s="91"/>
      <c r="AL297" s="91"/>
    </row>
    <row r="298" spans="1:38" ht="13.9" customHeight="1" x14ac:dyDescent="0.15">
      <c r="A298" s="10">
        <v>2027</v>
      </c>
      <c r="B298" s="10">
        <f t="shared" si="80"/>
        <v>3</v>
      </c>
      <c r="C298" s="67">
        <f t="shared" si="107"/>
        <v>46447</v>
      </c>
      <c r="D298" s="36">
        <f t="shared" ref="D298" si="140">IF(WEEKDAY((DATE(A298,B298,1)))&gt;4,(7-(WEEKDAY((DATE(A298,B298,1)))-4))+(DATE(A298,B298,1)),4-WEEKDAY((DATE(A298,B298,1)))+(DATE(A298,B298,1)))+7</f>
        <v>46456</v>
      </c>
      <c r="E298" s="37">
        <f t="shared" si="96"/>
        <v>46456</v>
      </c>
      <c r="F298" s="14" t="str">
        <f t="shared" si="97"/>
        <v/>
      </c>
      <c r="H298" s="91"/>
      <c r="I298" s="91"/>
      <c r="J298" s="91"/>
      <c r="K298" s="91"/>
      <c r="L298" s="91"/>
      <c r="M298" s="91"/>
      <c r="N298" s="91"/>
      <c r="O298" s="106"/>
      <c r="P298" s="106"/>
      <c r="Q298" s="106"/>
      <c r="R298" s="106"/>
      <c r="S298" s="91"/>
      <c r="T298" s="91"/>
      <c r="U298" s="91"/>
      <c r="V298" s="91"/>
      <c r="W298" s="91"/>
      <c r="X298" s="106"/>
      <c r="Y298" s="91"/>
      <c r="Z298" s="91"/>
      <c r="AA298" s="91"/>
      <c r="AB298" s="91"/>
      <c r="AC298" s="91"/>
      <c r="AD298" s="91"/>
      <c r="AE298" s="91"/>
      <c r="AF298" s="91"/>
      <c r="AG298" s="91"/>
      <c r="AH298" s="91"/>
      <c r="AI298" s="91"/>
      <c r="AJ298" s="91"/>
      <c r="AK298" s="91"/>
      <c r="AL298" s="91"/>
    </row>
    <row r="299" spans="1:38" ht="13.9" customHeight="1" x14ac:dyDescent="0.15">
      <c r="A299" s="10">
        <v>2027</v>
      </c>
      <c r="B299" s="10">
        <f t="shared" si="80"/>
        <v>3</v>
      </c>
      <c r="C299" s="67">
        <f t="shared" si="107"/>
        <v>46447</v>
      </c>
      <c r="D299" s="38">
        <f t="shared" ref="D299" si="141">IF(WEEKDAY(DATE(A299,B299,1))&gt;3,(7-(WEEKDAY(DATE(A299,B299,1))-3))+DATE(A299,B299,1),3-WEEKDAY(DATE(A299,B299,1))+DATE(A299,B299,1))+14</f>
        <v>46462</v>
      </c>
      <c r="E299" s="37">
        <f t="shared" si="96"/>
        <v>46462</v>
      </c>
      <c r="F299" s="14" t="str">
        <f t="shared" si="97"/>
        <v/>
      </c>
      <c r="H299" s="91"/>
      <c r="I299" s="91"/>
      <c r="J299" s="91"/>
      <c r="K299" s="91"/>
      <c r="L299" s="91"/>
      <c r="M299" s="91"/>
      <c r="N299" s="91"/>
      <c r="O299" s="106"/>
      <c r="P299" s="106"/>
      <c r="Q299" s="106"/>
      <c r="R299" s="106"/>
      <c r="S299" s="91"/>
      <c r="T299" s="91"/>
      <c r="U299" s="91"/>
      <c r="V299" s="91"/>
      <c r="W299" s="91"/>
      <c r="X299" s="106"/>
      <c r="Y299" s="91"/>
      <c r="Z299" s="91"/>
      <c r="AA299" s="91"/>
      <c r="AB299" s="91"/>
      <c r="AC299" s="91"/>
      <c r="AD299" s="91"/>
      <c r="AE299" s="91"/>
      <c r="AF299" s="91"/>
      <c r="AG299" s="91"/>
      <c r="AH299" s="91"/>
      <c r="AI299" s="91"/>
      <c r="AJ299" s="91"/>
      <c r="AK299" s="91"/>
      <c r="AL299" s="91"/>
    </row>
    <row r="300" spans="1:38" ht="13.9" customHeight="1" x14ac:dyDescent="0.15">
      <c r="A300" s="10">
        <v>2027</v>
      </c>
      <c r="B300" s="10">
        <f t="shared" si="80"/>
        <v>3</v>
      </c>
      <c r="C300" s="67">
        <f t="shared" si="107"/>
        <v>46447</v>
      </c>
      <c r="D300" s="36">
        <f t="shared" ref="D300" si="142">IF(WEEKDAY((DATE(A298,B298,1)))&gt;4,(7-(WEEKDAY((DATE(A298,B298,1)))-4))+(DATE(A298,B298,1)),4-WEEKDAY((DATE(A298,B298,1)))+(DATE(A298,B298,1)))+21</f>
        <v>46470</v>
      </c>
      <c r="E300" s="37">
        <f t="shared" si="96"/>
        <v>46470</v>
      </c>
      <c r="F300" s="14" t="str">
        <f t="shared" si="97"/>
        <v/>
      </c>
      <c r="H300" s="91"/>
      <c r="I300" s="91"/>
      <c r="J300" s="91"/>
      <c r="K300" s="91"/>
      <c r="L300" s="91"/>
      <c r="M300" s="91"/>
      <c r="N300" s="91"/>
      <c r="O300" s="106"/>
      <c r="P300" s="106"/>
      <c r="Q300" s="106"/>
      <c r="R300" s="106"/>
      <c r="S300" s="91"/>
      <c r="T300" s="91"/>
      <c r="U300" s="91"/>
      <c r="V300" s="91"/>
      <c r="W300" s="91"/>
      <c r="X300" s="106"/>
      <c r="Y300" s="91"/>
      <c r="Z300" s="91"/>
      <c r="AA300" s="91"/>
      <c r="AB300" s="91"/>
      <c r="AC300" s="91"/>
      <c r="AD300" s="91"/>
      <c r="AE300" s="91"/>
      <c r="AF300" s="91"/>
      <c r="AG300" s="91"/>
      <c r="AH300" s="91"/>
      <c r="AI300" s="91"/>
      <c r="AJ300" s="91"/>
      <c r="AK300" s="91"/>
      <c r="AL300" s="91"/>
    </row>
    <row r="301" spans="1:38" ht="13.9" customHeight="1" x14ac:dyDescent="0.15">
      <c r="A301" s="10">
        <v>2027</v>
      </c>
      <c r="B301" s="10">
        <f t="shared" si="80"/>
        <v>4</v>
      </c>
      <c r="C301" s="67">
        <f t="shared" si="107"/>
        <v>46478</v>
      </c>
      <c r="D301" s="36">
        <f t="shared" ref="D301" si="143">IF(WEEKDAY((DATE(A301,B301,1)))&gt;4,(7-(WEEKDAY((DATE(A301,B301,1)))-4))+(DATE(A301,B301,1)),4-WEEKDAY((DATE(A301,B301,1)))+(DATE(A301,B301,1)))+7</f>
        <v>46491</v>
      </c>
      <c r="E301" s="37">
        <f t="shared" si="96"/>
        <v>46491</v>
      </c>
      <c r="F301" s="14" t="str">
        <f t="shared" si="97"/>
        <v/>
      </c>
    </row>
    <row r="302" spans="1:38" ht="13.9" customHeight="1" x14ac:dyDescent="0.15">
      <c r="A302" s="10">
        <v>2027</v>
      </c>
      <c r="B302" s="10">
        <f t="shared" si="80"/>
        <v>4</v>
      </c>
      <c r="C302" s="67">
        <f t="shared" ref="C302:C337" si="144">DATE(A302,B302,1)</f>
        <v>46478</v>
      </c>
      <c r="D302" s="38">
        <f t="shared" ref="D302" si="145">IF(WEEKDAY(DATE(A302,B302,1))&gt;3,(7-(WEEKDAY(DATE(A302,B302,1))-3))+DATE(A302,B302,1),3-WEEKDAY(DATE(A302,B302,1))+DATE(A302,B302,1))+14</f>
        <v>46497</v>
      </c>
      <c r="E302" s="37">
        <f t="shared" si="96"/>
        <v>46497</v>
      </c>
      <c r="F302" s="14" t="str">
        <f t="shared" si="97"/>
        <v/>
      </c>
    </row>
    <row r="303" spans="1:38" ht="13.9" customHeight="1" x14ac:dyDescent="0.15">
      <c r="A303" s="10">
        <v>2027</v>
      </c>
      <c r="B303" s="10">
        <f t="shared" si="80"/>
        <v>4</v>
      </c>
      <c r="C303" s="67">
        <f t="shared" si="144"/>
        <v>46478</v>
      </c>
      <c r="D303" s="36">
        <f t="shared" ref="D303" si="146">IF(WEEKDAY((DATE(A301,B301,1)))&gt;4,(7-(WEEKDAY((DATE(A301,B301,1)))-4))+(DATE(A301,B301,1)),4-WEEKDAY((DATE(A301,B301,1)))+(DATE(A301,B301,1)))+21</f>
        <v>46505</v>
      </c>
      <c r="E303" s="37">
        <f t="shared" si="96"/>
        <v>46505</v>
      </c>
      <c r="F303" s="14" t="str">
        <f t="shared" si="97"/>
        <v/>
      </c>
    </row>
    <row r="304" spans="1:38" ht="13.9" customHeight="1" x14ac:dyDescent="0.15">
      <c r="A304" s="10">
        <v>2027</v>
      </c>
      <c r="B304" s="10">
        <f t="shared" si="80"/>
        <v>5</v>
      </c>
      <c r="C304" s="67">
        <f t="shared" si="144"/>
        <v>46508</v>
      </c>
      <c r="D304" s="36">
        <f t="shared" ref="D304" si="147">IF(WEEKDAY((DATE(A304,B304,1)))&gt;4,(7-(WEEKDAY((DATE(A304,B304,1)))-4))+(DATE(A304,B304,1)),4-WEEKDAY((DATE(A304,B304,1)))+(DATE(A304,B304,1)))+7</f>
        <v>46519</v>
      </c>
      <c r="E304" s="37">
        <f t="shared" si="96"/>
        <v>46519</v>
      </c>
      <c r="F304" s="14" t="str">
        <f t="shared" si="97"/>
        <v/>
      </c>
    </row>
    <row r="305" spans="1:6" ht="13.9" customHeight="1" x14ac:dyDescent="0.15">
      <c r="A305" s="10">
        <v>2027</v>
      </c>
      <c r="B305" s="10">
        <f t="shared" ref="B305:B368" si="148">IF(B302+1&gt;12,B302+1-12,B302+1)</f>
        <v>5</v>
      </c>
      <c r="C305" s="67">
        <f t="shared" si="144"/>
        <v>46508</v>
      </c>
      <c r="D305" s="38">
        <f t="shared" ref="D305" si="149">IF(WEEKDAY(DATE(A305,B305,1))&gt;3,(7-(WEEKDAY(DATE(A305,B305,1))-3))+DATE(A305,B305,1),3-WEEKDAY(DATE(A305,B305,1))+DATE(A305,B305,1))+14</f>
        <v>46525</v>
      </c>
      <c r="E305" s="37">
        <f t="shared" si="96"/>
        <v>46525</v>
      </c>
      <c r="F305" s="14" t="str">
        <f t="shared" si="97"/>
        <v/>
      </c>
    </row>
    <row r="306" spans="1:6" ht="13.9" customHeight="1" x14ac:dyDescent="0.15">
      <c r="A306" s="10">
        <v>2027</v>
      </c>
      <c r="B306" s="10">
        <f t="shared" si="148"/>
        <v>5</v>
      </c>
      <c r="C306" s="67">
        <f t="shared" si="144"/>
        <v>46508</v>
      </c>
      <c r="D306" s="36">
        <f t="shared" ref="D306" si="150">IF(WEEKDAY((DATE(A304,B304,1)))&gt;4,(7-(WEEKDAY((DATE(A304,B304,1)))-4))+(DATE(A304,B304,1)),4-WEEKDAY((DATE(A304,B304,1)))+(DATE(A304,B304,1)))+21</f>
        <v>46533</v>
      </c>
      <c r="E306" s="37">
        <f t="shared" si="96"/>
        <v>46533</v>
      </c>
      <c r="F306" s="14" t="str">
        <f t="shared" si="97"/>
        <v/>
      </c>
    </row>
    <row r="307" spans="1:6" ht="13.9" customHeight="1" x14ac:dyDescent="0.15">
      <c r="A307" s="10">
        <v>2027</v>
      </c>
      <c r="B307" s="10">
        <f t="shared" si="148"/>
        <v>6</v>
      </c>
      <c r="C307" s="67">
        <f t="shared" si="144"/>
        <v>46539</v>
      </c>
      <c r="D307" s="36">
        <f t="shared" ref="D307" si="151">IF(WEEKDAY((DATE(A307,B307,1)))&gt;4,(7-(WEEKDAY((DATE(A307,B307,1)))-4))+(DATE(A307,B307,1)),4-WEEKDAY((DATE(A307,B307,1)))+(DATE(A307,B307,1)))+7</f>
        <v>46547</v>
      </c>
      <c r="E307" s="37">
        <f t="shared" si="96"/>
        <v>46547</v>
      </c>
      <c r="F307" s="14" t="str">
        <f t="shared" si="97"/>
        <v/>
      </c>
    </row>
    <row r="308" spans="1:6" ht="13.9" customHeight="1" x14ac:dyDescent="0.15">
      <c r="A308" s="10">
        <v>2027</v>
      </c>
      <c r="B308" s="10">
        <f t="shared" si="148"/>
        <v>6</v>
      </c>
      <c r="C308" s="67">
        <f t="shared" si="144"/>
        <v>46539</v>
      </c>
      <c r="D308" s="38">
        <f t="shared" ref="D308" si="152">IF(WEEKDAY(DATE(A308,B308,1))&gt;3,(7-(WEEKDAY(DATE(A308,B308,1))-3))+DATE(A308,B308,1),3-WEEKDAY(DATE(A308,B308,1))+DATE(A308,B308,1))+14</f>
        <v>46553</v>
      </c>
      <c r="E308" s="37">
        <f t="shared" si="96"/>
        <v>46553</v>
      </c>
      <c r="F308" s="14" t="str">
        <f t="shared" si="97"/>
        <v/>
      </c>
    </row>
    <row r="309" spans="1:6" ht="13.9" customHeight="1" x14ac:dyDescent="0.15">
      <c r="A309" s="10">
        <v>2027</v>
      </c>
      <c r="B309" s="10">
        <f t="shared" si="148"/>
        <v>6</v>
      </c>
      <c r="C309" s="67">
        <f t="shared" si="144"/>
        <v>46539</v>
      </c>
      <c r="D309" s="36">
        <f t="shared" ref="D309" si="153">IF(WEEKDAY((DATE(A307,B307,1)))&gt;4,(7-(WEEKDAY((DATE(A307,B307,1)))-4))+(DATE(A307,B307,1)),4-WEEKDAY((DATE(A307,B307,1)))+(DATE(A307,B307,1)))+21</f>
        <v>46561</v>
      </c>
      <c r="E309" s="37">
        <f t="shared" si="96"/>
        <v>46561</v>
      </c>
      <c r="F309" s="14" t="str">
        <f t="shared" si="97"/>
        <v/>
      </c>
    </row>
    <row r="310" spans="1:6" ht="13.9" customHeight="1" x14ac:dyDescent="0.15">
      <c r="A310" s="10">
        <v>2027</v>
      </c>
      <c r="B310" s="10">
        <f t="shared" si="148"/>
        <v>7</v>
      </c>
      <c r="C310" s="67">
        <f t="shared" si="144"/>
        <v>46569</v>
      </c>
      <c r="D310" s="36">
        <f t="shared" ref="D310" si="154">IF(WEEKDAY((DATE(A310,B310,1)))&gt;4,(7-(WEEKDAY((DATE(A310,B310,1)))-4))+(DATE(A310,B310,1)),4-WEEKDAY((DATE(A310,B310,1)))+(DATE(A310,B310,1)))+7</f>
        <v>46582</v>
      </c>
      <c r="E310" s="37">
        <f t="shared" si="96"/>
        <v>46582</v>
      </c>
      <c r="F310" s="14" t="str">
        <f t="shared" si="97"/>
        <v/>
      </c>
    </row>
    <row r="311" spans="1:6" ht="13.9" customHeight="1" x14ac:dyDescent="0.15">
      <c r="A311" s="10">
        <v>2027</v>
      </c>
      <c r="B311" s="10">
        <f t="shared" si="148"/>
        <v>7</v>
      </c>
      <c r="C311" s="67">
        <f t="shared" si="144"/>
        <v>46569</v>
      </c>
      <c r="D311" s="38">
        <f t="shared" ref="D311" si="155">IF(WEEKDAY(DATE(A311,B311,1))&gt;3,(7-(WEEKDAY(DATE(A311,B311,1))-3))+DATE(A311,B311,1),3-WEEKDAY(DATE(A311,B311,1))+DATE(A311,B311,1))+14</f>
        <v>46588</v>
      </c>
      <c r="E311" s="37">
        <f t="shared" si="96"/>
        <v>46588</v>
      </c>
      <c r="F311" s="14" t="str">
        <f t="shared" si="97"/>
        <v/>
      </c>
    </row>
    <row r="312" spans="1:6" ht="13.9" customHeight="1" x14ac:dyDescent="0.15">
      <c r="A312" s="10">
        <v>2027</v>
      </c>
      <c r="B312" s="10">
        <f t="shared" si="148"/>
        <v>7</v>
      </c>
      <c r="C312" s="67">
        <f t="shared" si="144"/>
        <v>46569</v>
      </c>
      <c r="D312" s="36">
        <f t="shared" ref="D312" si="156">IF(WEEKDAY((DATE(A310,B310,1)))&gt;4,(7-(WEEKDAY((DATE(A310,B310,1)))-4))+(DATE(A310,B310,1)),4-WEEKDAY((DATE(A310,B310,1)))+(DATE(A310,B310,1)))+21</f>
        <v>46596</v>
      </c>
      <c r="E312" s="37">
        <f t="shared" si="96"/>
        <v>46596</v>
      </c>
      <c r="F312" s="14" t="str">
        <f t="shared" si="97"/>
        <v/>
      </c>
    </row>
    <row r="313" spans="1:6" ht="13.9" customHeight="1" x14ac:dyDescent="0.15">
      <c r="A313" s="10">
        <v>2027</v>
      </c>
      <c r="B313" s="10">
        <f t="shared" si="148"/>
        <v>8</v>
      </c>
      <c r="C313" s="67">
        <f t="shared" si="144"/>
        <v>46600</v>
      </c>
      <c r="D313" s="36">
        <f t="shared" ref="D313" si="157">IF(WEEKDAY((DATE(A313,B313,1)))&gt;4,(7-(WEEKDAY((DATE(A313,B313,1)))-4))+(DATE(A313,B313,1)),4-WEEKDAY((DATE(A313,B313,1)))+(DATE(A313,B313,1)))+7</f>
        <v>46610</v>
      </c>
      <c r="E313" s="37">
        <f t="shared" si="96"/>
        <v>46610</v>
      </c>
      <c r="F313" s="14" t="str">
        <f t="shared" si="97"/>
        <v/>
      </c>
    </row>
    <row r="314" spans="1:6" ht="13.9" customHeight="1" x14ac:dyDescent="0.15">
      <c r="A314" s="10">
        <v>2027</v>
      </c>
      <c r="B314" s="10">
        <f t="shared" si="148"/>
        <v>8</v>
      </c>
      <c r="C314" s="67">
        <f t="shared" si="144"/>
        <v>46600</v>
      </c>
      <c r="D314" s="38">
        <f t="shared" ref="D314" si="158">IF(WEEKDAY(DATE(A314,B314,1))&gt;3,(7-(WEEKDAY(DATE(A314,B314,1))-3))+DATE(A314,B314,1),3-WEEKDAY(DATE(A314,B314,1))+DATE(A314,B314,1))+14</f>
        <v>46616</v>
      </c>
      <c r="E314" s="37">
        <f t="shared" si="96"/>
        <v>46616</v>
      </c>
      <c r="F314" s="14" t="str">
        <f t="shared" si="97"/>
        <v/>
      </c>
    </row>
    <row r="315" spans="1:6" ht="13.9" customHeight="1" x14ac:dyDescent="0.15">
      <c r="A315" s="10">
        <v>2027</v>
      </c>
      <c r="B315" s="10">
        <f t="shared" si="148"/>
        <v>8</v>
      </c>
      <c r="C315" s="67">
        <f t="shared" si="144"/>
        <v>46600</v>
      </c>
      <c r="D315" s="36">
        <f t="shared" ref="D315" si="159">IF(WEEKDAY((DATE(A313,B313,1)))&gt;4,(7-(WEEKDAY((DATE(A313,B313,1)))-4))+(DATE(A313,B313,1)),4-WEEKDAY((DATE(A313,B313,1)))+(DATE(A313,B313,1)))+21</f>
        <v>46624</v>
      </c>
      <c r="E315" s="37">
        <f t="shared" si="96"/>
        <v>46624</v>
      </c>
      <c r="F315" s="14" t="str">
        <f t="shared" si="97"/>
        <v/>
      </c>
    </row>
    <row r="316" spans="1:6" ht="13.9" customHeight="1" x14ac:dyDescent="0.15">
      <c r="A316" s="10">
        <v>2027</v>
      </c>
      <c r="B316" s="10">
        <f t="shared" si="148"/>
        <v>9</v>
      </c>
      <c r="C316" s="67">
        <f t="shared" si="144"/>
        <v>46631</v>
      </c>
      <c r="D316" s="36">
        <f t="shared" ref="D316" si="160">IF(WEEKDAY((DATE(A316,B316,1)))&gt;4,(7-(WEEKDAY((DATE(A316,B316,1)))-4))+(DATE(A316,B316,1)),4-WEEKDAY((DATE(A316,B316,1)))+(DATE(A316,B316,1)))+7</f>
        <v>46638</v>
      </c>
      <c r="E316" s="37">
        <f t="shared" si="96"/>
        <v>46638</v>
      </c>
      <c r="F316" s="14" t="str">
        <f t="shared" si="97"/>
        <v/>
      </c>
    </row>
    <row r="317" spans="1:6" ht="13.9" customHeight="1" x14ac:dyDescent="0.15">
      <c r="A317" s="10">
        <v>2027</v>
      </c>
      <c r="B317" s="10">
        <f t="shared" si="148"/>
        <v>9</v>
      </c>
      <c r="C317" s="67">
        <f t="shared" si="144"/>
        <v>46631</v>
      </c>
      <c r="D317" s="38">
        <f t="shared" ref="D317" si="161">IF(WEEKDAY(DATE(A317,B317,1))&gt;3,(7-(WEEKDAY(DATE(A317,B317,1))-3))+DATE(A317,B317,1),3-WEEKDAY(DATE(A317,B317,1))+DATE(A317,B317,1))+14</f>
        <v>46651</v>
      </c>
      <c r="E317" s="37">
        <f t="shared" si="96"/>
        <v>46651</v>
      </c>
      <c r="F317" s="14" t="str">
        <f t="shared" si="97"/>
        <v/>
      </c>
    </row>
    <row r="318" spans="1:6" ht="13.9" customHeight="1" x14ac:dyDescent="0.15">
      <c r="A318" s="10">
        <v>2027</v>
      </c>
      <c r="B318" s="10">
        <f t="shared" si="148"/>
        <v>9</v>
      </c>
      <c r="C318" s="67">
        <f t="shared" si="144"/>
        <v>46631</v>
      </c>
      <c r="D318" s="36">
        <f t="shared" ref="D318" si="162">IF(WEEKDAY((DATE(A316,B316,1)))&gt;4,(7-(WEEKDAY((DATE(A316,B316,1)))-4))+(DATE(A316,B316,1)),4-WEEKDAY((DATE(A316,B316,1)))+(DATE(A316,B316,1)))+21</f>
        <v>46652</v>
      </c>
      <c r="E318" s="37">
        <f t="shared" si="96"/>
        <v>46652</v>
      </c>
      <c r="F318" s="14" t="str">
        <f t="shared" si="97"/>
        <v/>
      </c>
    </row>
    <row r="319" spans="1:6" ht="13.9" customHeight="1" x14ac:dyDescent="0.15">
      <c r="A319" s="10">
        <v>2027</v>
      </c>
      <c r="B319" s="10">
        <f t="shared" si="148"/>
        <v>10</v>
      </c>
      <c r="C319" s="67">
        <f t="shared" si="144"/>
        <v>46661</v>
      </c>
      <c r="D319" s="36">
        <f t="shared" ref="D319" si="163">IF(WEEKDAY((DATE(A319,B319,1)))&gt;4,(7-(WEEKDAY((DATE(A319,B319,1)))-4))+(DATE(A319,B319,1)),4-WEEKDAY((DATE(A319,B319,1)))+(DATE(A319,B319,1)))+7</f>
        <v>46673</v>
      </c>
      <c r="E319" s="37">
        <f t="shared" si="96"/>
        <v>46673</v>
      </c>
      <c r="F319" s="14" t="str">
        <f t="shared" si="97"/>
        <v/>
      </c>
    </row>
    <row r="320" spans="1:6" ht="13.9" customHeight="1" x14ac:dyDescent="0.15">
      <c r="A320" s="10">
        <v>2027</v>
      </c>
      <c r="B320" s="10">
        <f t="shared" si="148"/>
        <v>10</v>
      </c>
      <c r="C320" s="67">
        <f t="shared" si="144"/>
        <v>46661</v>
      </c>
      <c r="D320" s="38">
        <f t="shared" ref="D320" si="164">IF(WEEKDAY(DATE(A320,B320,1))&gt;3,(7-(WEEKDAY(DATE(A320,B320,1))-3))+DATE(A320,B320,1),3-WEEKDAY(DATE(A320,B320,1))+DATE(A320,B320,1))+14</f>
        <v>46679</v>
      </c>
      <c r="E320" s="37">
        <f t="shared" ref="E320:E327" si="165">D320</f>
        <v>46679</v>
      </c>
      <c r="F320" s="14" t="str">
        <f t="shared" ref="F320:F327" si="166">IFERROR(INDEX($H$1:$AN$1,1,MATCH(1,H320:AN320)),"")</f>
        <v/>
      </c>
    </row>
    <row r="321" spans="1:6" ht="13.9" customHeight="1" x14ac:dyDescent="0.15">
      <c r="A321" s="10">
        <v>2027</v>
      </c>
      <c r="B321" s="10">
        <f t="shared" si="148"/>
        <v>10</v>
      </c>
      <c r="C321" s="67">
        <f t="shared" si="144"/>
        <v>46661</v>
      </c>
      <c r="D321" s="36">
        <f t="shared" ref="D321" si="167">IF(WEEKDAY((DATE(A319,B319,1)))&gt;4,(7-(WEEKDAY((DATE(A319,B319,1)))-4))+(DATE(A319,B319,1)),4-WEEKDAY((DATE(A319,B319,1)))+(DATE(A319,B319,1)))+21</f>
        <v>46687</v>
      </c>
      <c r="E321" s="37">
        <f t="shared" si="165"/>
        <v>46687</v>
      </c>
      <c r="F321" s="14" t="str">
        <f t="shared" si="166"/>
        <v/>
      </c>
    </row>
    <row r="322" spans="1:6" ht="13.9" customHeight="1" x14ac:dyDescent="0.15">
      <c r="A322" s="10">
        <v>2027</v>
      </c>
      <c r="B322" s="10">
        <f t="shared" si="148"/>
        <v>11</v>
      </c>
      <c r="C322" s="67">
        <f t="shared" si="144"/>
        <v>46692</v>
      </c>
      <c r="D322" s="36">
        <f t="shared" ref="D322" si="168">IF(WEEKDAY((DATE(A322,B322,1)))&gt;4,(7-(WEEKDAY((DATE(A322,B322,1)))-4))+(DATE(A322,B322,1)),4-WEEKDAY((DATE(A322,B322,1)))+(DATE(A322,B322,1)))+7</f>
        <v>46701</v>
      </c>
      <c r="E322" s="37">
        <f t="shared" si="165"/>
        <v>46701</v>
      </c>
      <c r="F322" s="14" t="str">
        <f t="shared" si="166"/>
        <v/>
      </c>
    </row>
    <row r="323" spans="1:6" ht="13.9" customHeight="1" x14ac:dyDescent="0.15">
      <c r="A323" s="10">
        <v>2027</v>
      </c>
      <c r="B323" s="10">
        <f t="shared" si="148"/>
        <v>11</v>
      </c>
      <c r="C323" s="67">
        <f t="shared" si="144"/>
        <v>46692</v>
      </c>
      <c r="D323" s="38">
        <f t="shared" ref="D323" si="169">IF(WEEKDAY(DATE(A323,B323,1))&gt;3,(7-(WEEKDAY(DATE(A323,B323,1))-3))+DATE(A323,B323,1),3-WEEKDAY(DATE(A323,B323,1))+DATE(A323,B323,1))+14</f>
        <v>46707</v>
      </c>
      <c r="E323" s="37">
        <f t="shared" si="165"/>
        <v>46707</v>
      </c>
      <c r="F323" s="14" t="str">
        <f t="shared" si="166"/>
        <v/>
      </c>
    </row>
    <row r="324" spans="1:6" ht="13.9" customHeight="1" x14ac:dyDescent="0.15">
      <c r="A324" s="10">
        <v>2027</v>
      </c>
      <c r="B324" s="10">
        <f t="shared" si="148"/>
        <v>11</v>
      </c>
      <c r="C324" s="67">
        <f t="shared" si="144"/>
        <v>46692</v>
      </c>
      <c r="D324" s="36">
        <f t="shared" ref="D324" si="170">IF(WEEKDAY((DATE(A322,B322,1)))&gt;4,(7-(WEEKDAY((DATE(A322,B322,1)))-4))+(DATE(A322,B322,1)),4-WEEKDAY((DATE(A322,B322,1)))+(DATE(A322,B322,1)))+21</f>
        <v>46715</v>
      </c>
      <c r="E324" s="37">
        <f t="shared" si="165"/>
        <v>46715</v>
      </c>
      <c r="F324" s="14" t="str">
        <f t="shared" si="166"/>
        <v/>
      </c>
    </row>
    <row r="325" spans="1:6" ht="13.9" customHeight="1" x14ac:dyDescent="0.15">
      <c r="A325" s="10">
        <v>2027</v>
      </c>
      <c r="B325" s="10">
        <f t="shared" si="148"/>
        <v>12</v>
      </c>
      <c r="C325" s="67">
        <f t="shared" si="144"/>
        <v>46722</v>
      </c>
      <c r="D325" s="36">
        <f t="shared" ref="D325" si="171">IF(WEEKDAY((DATE(A325,B325,1)))&gt;4,(7-(WEEKDAY((DATE(A325,B325,1)))-4))+(DATE(A325,B325,1)),4-WEEKDAY((DATE(A325,B325,1)))+(DATE(A325,B325,1)))+7</f>
        <v>46729</v>
      </c>
      <c r="E325" s="37">
        <f t="shared" si="165"/>
        <v>46729</v>
      </c>
      <c r="F325" s="14" t="str">
        <f t="shared" si="166"/>
        <v/>
      </c>
    </row>
    <row r="326" spans="1:6" ht="13.9" customHeight="1" x14ac:dyDescent="0.15">
      <c r="A326" s="10">
        <v>2027</v>
      </c>
      <c r="B326" s="10">
        <f t="shared" si="148"/>
        <v>12</v>
      </c>
      <c r="C326" s="67">
        <f t="shared" si="144"/>
        <v>46722</v>
      </c>
      <c r="D326" s="38">
        <f t="shared" ref="D326" si="172">IF(WEEKDAY(DATE(A326,B326,1))&gt;3,(7-(WEEKDAY(DATE(A326,B326,1))-3))+DATE(A326,B326,1),3-WEEKDAY(DATE(A326,B326,1))+DATE(A326,B326,1))+14</f>
        <v>46742</v>
      </c>
      <c r="E326" s="37">
        <f t="shared" si="165"/>
        <v>46742</v>
      </c>
      <c r="F326" s="14" t="str">
        <f t="shared" si="166"/>
        <v/>
      </c>
    </row>
    <row r="327" spans="1:6" ht="13.9" customHeight="1" x14ac:dyDescent="0.15">
      <c r="A327" s="10">
        <v>2027</v>
      </c>
      <c r="B327" s="10">
        <f t="shared" si="148"/>
        <v>12</v>
      </c>
      <c r="C327" s="67">
        <f t="shared" si="144"/>
        <v>46722</v>
      </c>
      <c r="D327" s="36">
        <f t="shared" ref="D327" si="173">IF(WEEKDAY((DATE(A325,B325,1)))&gt;4,(7-(WEEKDAY((DATE(A325,B325,1)))-4))+(DATE(A325,B325,1)),4-WEEKDAY((DATE(A325,B325,1)))+(DATE(A325,B325,1)))+21</f>
        <v>46743</v>
      </c>
      <c r="E327" s="37">
        <f t="shared" si="165"/>
        <v>46743</v>
      </c>
      <c r="F327" s="14" t="str">
        <f t="shared" si="166"/>
        <v/>
      </c>
    </row>
    <row r="328" spans="1:6" ht="13.9" customHeight="1" x14ac:dyDescent="0.15">
      <c r="A328" s="10">
        <v>2028</v>
      </c>
      <c r="B328" s="10">
        <f t="shared" si="148"/>
        <v>1</v>
      </c>
      <c r="C328" s="67">
        <f t="shared" si="144"/>
        <v>46753</v>
      </c>
      <c r="D328" s="36">
        <f t="shared" ref="D328" si="174">IF(WEEKDAY((DATE(A328,B328,1)))&gt;4,(7-(WEEKDAY((DATE(A328,B328,1)))-4))+(DATE(A328,B328,1)),4-WEEKDAY((DATE(A328,B328,1)))+(DATE(A328,B328,1)))+7</f>
        <v>46764</v>
      </c>
      <c r="E328" s="37">
        <f t="shared" ref="E328:E391" si="175">D328</f>
        <v>46764</v>
      </c>
      <c r="F328" s="14" t="str">
        <f t="shared" ref="F328:F391" si="176">IFERROR(INDEX($H$1:$AN$1,1,MATCH(1,H328:AN328)),"")</f>
        <v/>
      </c>
    </row>
    <row r="329" spans="1:6" ht="13.9" customHeight="1" x14ac:dyDescent="0.15">
      <c r="A329" s="10">
        <v>2028</v>
      </c>
      <c r="B329" s="10">
        <f t="shared" si="148"/>
        <v>1</v>
      </c>
      <c r="C329" s="67">
        <f t="shared" si="144"/>
        <v>46753</v>
      </c>
      <c r="D329" s="38">
        <f t="shared" ref="D329" si="177">IF(WEEKDAY(DATE(A329,B329,1))&gt;3,(7-(WEEKDAY(DATE(A329,B329,1))-3))+DATE(A329,B329,1),3-WEEKDAY(DATE(A329,B329,1))+DATE(A329,B329,1))+14</f>
        <v>46770</v>
      </c>
      <c r="E329" s="37">
        <f t="shared" si="175"/>
        <v>46770</v>
      </c>
      <c r="F329" s="14" t="str">
        <f t="shared" si="176"/>
        <v/>
      </c>
    </row>
    <row r="330" spans="1:6" ht="13.9" customHeight="1" x14ac:dyDescent="0.15">
      <c r="A330" s="10">
        <v>2028</v>
      </c>
      <c r="B330" s="10">
        <f t="shared" si="148"/>
        <v>1</v>
      </c>
      <c r="C330" s="67">
        <f t="shared" si="144"/>
        <v>46753</v>
      </c>
      <c r="D330" s="36">
        <f t="shared" ref="D330" si="178">IF(WEEKDAY((DATE(A328,B328,1)))&gt;4,(7-(WEEKDAY((DATE(A328,B328,1)))-4))+(DATE(A328,B328,1)),4-WEEKDAY((DATE(A328,B328,1)))+(DATE(A328,B328,1)))+21</f>
        <v>46778</v>
      </c>
      <c r="E330" s="37">
        <f t="shared" si="175"/>
        <v>46778</v>
      </c>
      <c r="F330" s="14" t="str">
        <f t="shared" si="176"/>
        <v/>
      </c>
    </row>
    <row r="331" spans="1:6" ht="13.9" customHeight="1" x14ac:dyDescent="0.15">
      <c r="A331" s="10">
        <v>2028</v>
      </c>
      <c r="B331" s="10">
        <f t="shared" si="148"/>
        <v>2</v>
      </c>
      <c r="C331" s="67">
        <f t="shared" si="144"/>
        <v>46784</v>
      </c>
      <c r="D331" s="36">
        <f t="shared" ref="D331" si="179">IF(WEEKDAY((DATE(A331,B331,1)))&gt;4,(7-(WEEKDAY((DATE(A331,B331,1)))-4))+(DATE(A331,B331,1)),4-WEEKDAY((DATE(A331,B331,1)))+(DATE(A331,B331,1)))+7</f>
        <v>46792</v>
      </c>
      <c r="E331" s="37">
        <f t="shared" si="175"/>
        <v>46792</v>
      </c>
      <c r="F331" s="14" t="str">
        <f t="shared" si="176"/>
        <v/>
      </c>
    </row>
    <row r="332" spans="1:6" ht="13.9" customHeight="1" x14ac:dyDescent="0.15">
      <c r="A332" s="10">
        <v>2028</v>
      </c>
      <c r="B332" s="10">
        <f t="shared" si="148"/>
        <v>2</v>
      </c>
      <c r="C332" s="67">
        <f t="shared" si="144"/>
        <v>46784</v>
      </c>
      <c r="D332" s="38">
        <f t="shared" ref="D332" si="180">IF(WEEKDAY(DATE(A332,B332,1))&gt;3,(7-(WEEKDAY(DATE(A332,B332,1))-3))+DATE(A332,B332,1),3-WEEKDAY(DATE(A332,B332,1))+DATE(A332,B332,1))+14</f>
        <v>46798</v>
      </c>
      <c r="E332" s="37">
        <f t="shared" si="175"/>
        <v>46798</v>
      </c>
      <c r="F332" s="14" t="str">
        <f t="shared" si="176"/>
        <v/>
      </c>
    </row>
    <row r="333" spans="1:6" ht="13.9" customHeight="1" x14ac:dyDescent="0.15">
      <c r="A333" s="10">
        <v>2028</v>
      </c>
      <c r="B333" s="10">
        <f t="shared" si="148"/>
        <v>2</v>
      </c>
      <c r="C333" s="67">
        <f t="shared" si="144"/>
        <v>46784</v>
      </c>
      <c r="D333" s="36">
        <f t="shared" ref="D333" si="181">IF(WEEKDAY((DATE(A331,B331,1)))&gt;4,(7-(WEEKDAY((DATE(A331,B331,1)))-4))+(DATE(A331,B331,1)),4-WEEKDAY((DATE(A331,B331,1)))+(DATE(A331,B331,1)))+21</f>
        <v>46806</v>
      </c>
      <c r="E333" s="37">
        <f t="shared" si="175"/>
        <v>46806</v>
      </c>
      <c r="F333" s="14" t="str">
        <f t="shared" si="176"/>
        <v/>
      </c>
    </row>
    <row r="334" spans="1:6" ht="13.9" customHeight="1" x14ac:dyDescent="0.15">
      <c r="A334" s="10">
        <v>2028</v>
      </c>
      <c r="B334" s="10">
        <f t="shared" si="148"/>
        <v>3</v>
      </c>
      <c r="C334" s="67">
        <f t="shared" si="144"/>
        <v>46813</v>
      </c>
      <c r="D334" s="36">
        <f t="shared" ref="D334" si="182">IF(WEEKDAY((DATE(A334,B334,1)))&gt;4,(7-(WEEKDAY((DATE(A334,B334,1)))-4))+(DATE(A334,B334,1)),4-WEEKDAY((DATE(A334,B334,1)))+(DATE(A334,B334,1)))+7</f>
        <v>46820</v>
      </c>
      <c r="E334" s="37">
        <f t="shared" si="175"/>
        <v>46820</v>
      </c>
      <c r="F334" s="14" t="str">
        <f t="shared" si="176"/>
        <v/>
      </c>
    </row>
    <row r="335" spans="1:6" ht="13.9" customHeight="1" x14ac:dyDescent="0.15">
      <c r="A335" s="10">
        <v>2028</v>
      </c>
      <c r="B335" s="10">
        <f t="shared" si="148"/>
        <v>3</v>
      </c>
      <c r="C335" s="67">
        <f t="shared" si="144"/>
        <v>46813</v>
      </c>
      <c r="D335" s="38">
        <f t="shared" ref="D335" si="183">IF(WEEKDAY(DATE(A335,B335,1))&gt;3,(7-(WEEKDAY(DATE(A335,B335,1))-3))+DATE(A335,B335,1),3-WEEKDAY(DATE(A335,B335,1))+DATE(A335,B335,1))+14</f>
        <v>46833</v>
      </c>
      <c r="E335" s="37">
        <f t="shared" si="175"/>
        <v>46833</v>
      </c>
      <c r="F335" s="14" t="str">
        <f t="shared" si="176"/>
        <v/>
      </c>
    </row>
    <row r="336" spans="1:6" ht="13.9" customHeight="1" x14ac:dyDescent="0.15">
      <c r="A336" s="10">
        <v>2028</v>
      </c>
      <c r="B336" s="10">
        <f t="shared" si="148"/>
        <v>3</v>
      </c>
      <c r="C336" s="67">
        <f t="shared" si="144"/>
        <v>46813</v>
      </c>
      <c r="D336" s="36">
        <f t="shared" ref="D336" si="184">IF(WEEKDAY((DATE(A334,B334,1)))&gt;4,(7-(WEEKDAY((DATE(A334,B334,1)))-4))+(DATE(A334,B334,1)),4-WEEKDAY((DATE(A334,B334,1)))+(DATE(A334,B334,1)))+21</f>
        <v>46834</v>
      </c>
      <c r="E336" s="37">
        <f t="shared" si="175"/>
        <v>46834</v>
      </c>
      <c r="F336" s="14" t="str">
        <f t="shared" si="176"/>
        <v/>
      </c>
    </row>
    <row r="337" spans="1:6" ht="13.9" customHeight="1" x14ac:dyDescent="0.15">
      <c r="A337" s="10">
        <v>2028</v>
      </c>
      <c r="B337" s="10">
        <f t="shared" si="148"/>
        <v>4</v>
      </c>
      <c r="C337" s="67">
        <f t="shared" si="144"/>
        <v>46844</v>
      </c>
      <c r="D337" s="36">
        <f t="shared" ref="D337" si="185">IF(WEEKDAY((DATE(A337,B337,1)))&gt;4,(7-(WEEKDAY((DATE(A337,B337,1)))-4))+(DATE(A337,B337,1)),4-WEEKDAY((DATE(A337,B337,1)))+(DATE(A337,B337,1)))+7</f>
        <v>46855</v>
      </c>
      <c r="E337" s="37">
        <f t="shared" si="175"/>
        <v>46855</v>
      </c>
      <c r="F337" s="14" t="str">
        <f t="shared" si="176"/>
        <v/>
      </c>
    </row>
    <row r="338" spans="1:6" ht="13.9" customHeight="1" x14ac:dyDescent="0.15">
      <c r="A338" s="10">
        <v>2028</v>
      </c>
      <c r="B338" s="10">
        <f t="shared" si="148"/>
        <v>4</v>
      </c>
      <c r="C338" s="67">
        <f t="shared" ref="C338:C373" si="186">DATE(A338,B338,1)</f>
        <v>46844</v>
      </c>
      <c r="D338" s="38">
        <f t="shared" ref="D338" si="187">IF(WEEKDAY(DATE(A338,B338,1))&gt;3,(7-(WEEKDAY(DATE(A338,B338,1))-3))+DATE(A338,B338,1),3-WEEKDAY(DATE(A338,B338,1))+DATE(A338,B338,1))+14</f>
        <v>46861</v>
      </c>
      <c r="E338" s="37">
        <f t="shared" si="175"/>
        <v>46861</v>
      </c>
      <c r="F338" s="14" t="str">
        <f t="shared" si="176"/>
        <v/>
      </c>
    </row>
    <row r="339" spans="1:6" ht="13.9" customHeight="1" x14ac:dyDescent="0.15">
      <c r="A339" s="10">
        <v>2028</v>
      </c>
      <c r="B339" s="10">
        <f t="shared" si="148"/>
        <v>4</v>
      </c>
      <c r="C339" s="67">
        <f t="shared" si="186"/>
        <v>46844</v>
      </c>
      <c r="D339" s="36">
        <f t="shared" ref="D339" si="188">IF(WEEKDAY((DATE(A337,B337,1)))&gt;4,(7-(WEEKDAY((DATE(A337,B337,1)))-4))+(DATE(A337,B337,1)),4-WEEKDAY((DATE(A337,B337,1)))+(DATE(A337,B337,1)))+21</f>
        <v>46869</v>
      </c>
      <c r="E339" s="37">
        <f t="shared" si="175"/>
        <v>46869</v>
      </c>
      <c r="F339" s="14" t="str">
        <f t="shared" si="176"/>
        <v/>
      </c>
    </row>
    <row r="340" spans="1:6" ht="13.9" customHeight="1" x14ac:dyDescent="0.15">
      <c r="A340" s="10">
        <v>2028</v>
      </c>
      <c r="B340" s="10">
        <f t="shared" si="148"/>
        <v>5</v>
      </c>
      <c r="C340" s="67">
        <f t="shared" si="186"/>
        <v>46874</v>
      </c>
      <c r="D340" s="36">
        <f t="shared" ref="D340" si="189">IF(WEEKDAY((DATE(A340,B340,1)))&gt;4,(7-(WEEKDAY((DATE(A340,B340,1)))-4))+(DATE(A340,B340,1)),4-WEEKDAY((DATE(A340,B340,1)))+(DATE(A340,B340,1)))+7</f>
        <v>46883</v>
      </c>
      <c r="E340" s="37">
        <f t="shared" si="175"/>
        <v>46883</v>
      </c>
      <c r="F340" s="14" t="str">
        <f t="shared" si="176"/>
        <v/>
      </c>
    </row>
    <row r="341" spans="1:6" ht="13.9" customHeight="1" x14ac:dyDescent="0.15">
      <c r="A341" s="10">
        <v>2028</v>
      </c>
      <c r="B341" s="10">
        <f t="shared" si="148"/>
        <v>5</v>
      </c>
      <c r="C341" s="67">
        <f t="shared" si="186"/>
        <v>46874</v>
      </c>
      <c r="D341" s="38">
        <f t="shared" ref="D341" si="190">IF(WEEKDAY(DATE(A341,B341,1))&gt;3,(7-(WEEKDAY(DATE(A341,B341,1))-3))+DATE(A341,B341,1),3-WEEKDAY(DATE(A341,B341,1))+DATE(A341,B341,1))+14</f>
        <v>46889</v>
      </c>
      <c r="E341" s="37">
        <f t="shared" si="175"/>
        <v>46889</v>
      </c>
      <c r="F341" s="14" t="str">
        <f t="shared" si="176"/>
        <v/>
      </c>
    </row>
    <row r="342" spans="1:6" ht="13.9" customHeight="1" x14ac:dyDescent="0.15">
      <c r="A342" s="10">
        <v>2028</v>
      </c>
      <c r="B342" s="10">
        <f t="shared" si="148"/>
        <v>5</v>
      </c>
      <c r="C342" s="67">
        <f t="shared" si="186"/>
        <v>46874</v>
      </c>
      <c r="D342" s="36">
        <f t="shared" ref="D342" si="191">IF(WEEKDAY((DATE(A340,B340,1)))&gt;4,(7-(WEEKDAY((DATE(A340,B340,1)))-4))+(DATE(A340,B340,1)),4-WEEKDAY((DATE(A340,B340,1)))+(DATE(A340,B340,1)))+21</f>
        <v>46897</v>
      </c>
      <c r="E342" s="37">
        <f t="shared" si="175"/>
        <v>46897</v>
      </c>
      <c r="F342" s="14" t="str">
        <f t="shared" si="176"/>
        <v/>
      </c>
    </row>
    <row r="343" spans="1:6" ht="13.9" customHeight="1" x14ac:dyDescent="0.15">
      <c r="A343" s="10">
        <v>2028</v>
      </c>
      <c r="B343" s="10">
        <f t="shared" si="148"/>
        <v>6</v>
      </c>
      <c r="C343" s="67">
        <f t="shared" si="186"/>
        <v>46905</v>
      </c>
      <c r="D343" s="36">
        <f t="shared" ref="D343" si="192">IF(WEEKDAY((DATE(A343,B343,1)))&gt;4,(7-(WEEKDAY((DATE(A343,B343,1)))-4))+(DATE(A343,B343,1)),4-WEEKDAY((DATE(A343,B343,1)))+(DATE(A343,B343,1)))+7</f>
        <v>46918</v>
      </c>
      <c r="E343" s="37">
        <f t="shared" si="175"/>
        <v>46918</v>
      </c>
      <c r="F343" s="14" t="str">
        <f t="shared" si="176"/>
        <v/>
      </c>
    </row>
    <row r="344" spans="1:6" ht="13.9" customHeight="1" x14ac:dyDescent="0.15">
      <c r="A344" s="10">
        <v>2028</v>
      </c>
      <c r="B344" s="10">
        <f t="shared" si="148"/>
        <v>6</v>
      </c>
      <c r="C344" s="67">
        <f t="shared" si="186"/>
        <v>46905</v>
      </c>
      <c r="D344" s="38">
        <f t="shared" ref="D344" si="193">IF(WEEKDAY(DATE(A344,B344,1))&gt;3,(7-(WEEKDAY(DATE(A344,B344,1))-3))+DATE(A344,B344,1),3-WEEKDAY(DATE(A344,B344,1))+DATE(A344,B344,1))+14</f>
        <v>46924</v>
      </c>
      <c r="E344" s="37">
        <f t="shared" si="175"/>
        <v>46924</v>
      </c>
      <c r="F344" s="14" t="str">
        <f t="shared" si="176"/>
        <v/>
      </c>
    </row>
    <row r="345" spans="1:6" ht="13.9" customHeight="1" x14ac:dyDescent="0.15">
      <c r="A345" s="10">
        <v>2028</v>
      </c>
      <c r="B345" s="10">
        <f t="shared" si="148"/>
        <v>6</v>
      </c>
      <c r="C345" s="67">
        <f t="shared" si="186"/>
        <v>46905</v>
      </c>
      <c r="D345" s="36">
        <f t="shared" ref="D345" si="194">IF(WEEKDAY((DATE(A343,B343,1)))&gt;4,(7-(WEEKDAY((DATE(A343,B343,1)))-4))+(DATE(A343,B343,1)),4-WEEKDAY((DATE(A343,B343,1)))+(DATE(A343,B343,1)))+21</f>
        <v>46932</v>
      </c>
      <c r="E345" s="37">
        <f t="shared" si="175"/>
        <v>46932</v>
      </c>
      <c r="F345" s="14" t="str">
        <f t="shared" si="176"/>
        <v/>
      </c>
    </row>
    <row r="346" spans="1:6" ht="13.9" customHeight="1" x14ac:dyDescent="0.15">
      <c r="A346" s="10">
        <v>2028</v>
      </c>
      <c r="B346" s="10">
        <f t="shared" si="148"/>
        <v>7</v>
      </c>
      <c r="C346" s="67">
        <f t="shared" si="186"/>
        <v>46935</v>
      </c>
      <c r="D346" s="36">
        <f t="shared" ref="D346" si="195">IF(WEEKDAY((DATE(A346,B346,1)))&gt;4,(7-(WEEKDAY((DATE(A346,B346,1)))-4))+(DATE(A346,B346,1)),4-WEEKDAY((DATE(A346,B346,1)))+(DATE(A346,B346,1)))+7</f>
        <v>46946</v>
      </c>
      <c r="E346" s="37">
        <f t="shared" si="175"/>
        <v>46946</v>
      </c>
      <c r="F346" s="14" t="str">
        <f t="shared" si="176"/>
        <v/>
      </c>
    </row>
    <row r="347" spans="1:6" ht="13.9" customHeight="1" x14ac:dyDescent="0.15">
      <c r="A347" s="10">
        <v>2028</v>
      </c>
      <c r="B347" s="10">
        <f t="shared" si="148"/>
        <v>7</v>
      </c>
      <c r="C347" s="67">
        <f t="shared" si="186"/>
        <v>46935</v>
      </c>
      <c r="D347" s="38">
        <f t="shared" ref="D347" si="196">IF(WEEKDAY(DATE(A347,B347,1))&gt;3,(7-(WEEKDAY(DATE(A347,B347,1))-3))+DATE(A347,B347,1),3-WEEKDAY(DATE(A347,B347,1))+DATE(A347,B347,1))+14</f>
        <v>46952</v>
      </c>
      <c r="E347" s="37">
        <f t="shared" si="175"/>
        <v>46952</v>
      </c>
      <c r="F347" s="14" t="str">
        <f t="shared" si="176"/>
        <v/>
      </c>
    </row>
    <row r="348" spans="1:6" ht="13.9" customHeight="1" x14ac:dyDescent="0.15">
      <c r="A348" s="10">
        <v>2028</v>
      </c>
      <c r="B348" s="10">
        <f t="shared" si="148"/>
        <v>7</v>
      </c>
      <c r="C348" s="67">
        <f t="shared" si="186"/>
        <v>46935</v>
      </c>
      <c r="D348" s="36">
        <f t="shared" ref="D348" si="197">IF(WEEKDAY((DATE(A346,B346,1)))&gt;4,(7-(WEEKDAY((DATE(A346,B346,1)))-4))+(DATE(A346,B346,1)),4-WEEKDAY((DATE(A346,B346,1)))+(DATE(A346,B346,1)))+21</f>
        <v>46960</v>
      </c>
      <c r="E348" s="37">
        <f t="shared" si="175"/>
        <v>46960</v>
      </c>
      <c r="F348" s="14" t="str">
        <f t="shared" si="176"/>
        <v/>
      </c>
    </row>
    <row r="349" spans="1:6" ht="13.9" customHeight="1" x14ac:dyDescent="0.15">
      <c r="A349" s="10">
        <v>2028</v>
      </c>
      <c r="B349" s="10">
        <f t="shared" si="148"/>
        <v>8</v>
      </c>
      <c r="C349" s="67">
        <f t="shared" si="186"/>
        <v>46966</v>
      </c>
      <c r="D349" s="36">
        <f t="shared" ref="D349" si="198">IF(WEEKDAY((DATE(A349,B349,1)))&gt;4,(7-(WEEKDAY((DATE(A349,B349,1)))-4))+(DATE(A349,B349,1)),4-WEEKDAY((DATE(A349,B349,1)))+(DATE(A349,B349,1)))+7</f>
        <v>46974</v>
      </c>
      <c r="E349" s="37">
        <f t="shared" si="175"/>
        <v>46974</v>
      </c>
      <c r="F349" s="14" t="str">
        <f t="shared" si="176"/>
        <v/>
      </c>
    </row>
    <row r="350" spans="1:6" ht="13.9" customHeight="1" x14ac:dyDescent="0.15">
      <c r="A350" s="10">
        <v>2028</v>
      </c>
      <c r="B350" s="10">
        <f t="shared" si="148"/>
        <v>8</v>
      </c>
      <c r="C350" s="67">
        <f t="shared" si="186"/>
        <v>46966</v>
      </c>
      <c r="D350" s="38">
        <f t="shared" ref="D350" si="199">IF(WEEKDAY(DATE(A350,B350,1))&gt;3,(7-(WEEKDAY(DATE(A350,B350,1))-3))+DATE(A350,B350,1),3-WEEKDAY(DATE(A350,B350,1))+DATE(A350,B350,1))+14</f>
        <v>46980</v>
      </c>
      <c r="E350" s="37">
        <f t="shared" si="175"/>
        <v>46980</v>
      </c>
      <c r="F350" s="14" t="str">
        <f t="shared" si="176"/>
        <v/>
      </c>
    </row>
    <row r="351" spans="1:6" ht="13.9" customHeight="1" x14ac:dyDescent="0.15">
      <c r="A351" s="10">
        <v>2028</v>
      </c>
      <c r="B351" s="10">
        <f t="shared" si="148"/>
        <v>8</v>
      </c>
      <c r="C351" s="67">
        <f t="shared" si="186"/>
        <v>46966</v>
      </c>
      <c r="D351" s="36">
        <f t="shared" ref="D351" si="200">IF(WEEKDAY((DATE(A349,B349,1)))&gt;4,(7-(WEEKDAY((DATE(A349,B349,1)))-4))+(DATE(A349,B349,1)),4-WEEKDAY((DATE(A349,B349,1)))+(DATE(A349,B349,1)))+21</f>
        <v>46988</v>
      </c>
      <c r="E351" s="37">
        <f t="shared" si="175"/>
        <v>46988</v>
      </c>
      <c r="F351" s="14" t="str">
        <f t="shared" si="176"/>
        <v/>
      </c>
    </row>
    <row r="352" spans="1:6" ht="13.9" customHeight="1" x14ac:dyDescent="0.15">
      <c r="A352" s="10">
        <v>2028</v>
      </c>
      <c r="B352" s="10">
        <f t="shared" si="148"/>
        <v>9</v>
      </c>
      <c r="C352" s="67">
        <f t="shared" si="186"/>
        <v>46997</v>
      </c>
      <c r="D352" s="36">
        <f t="shared" ref="D352" si="201">IF(WEEKDAY((DATE(A352,B352,1)))&gt;4,(7-(WEEKDAY((DATE(A352,B352,1)))-4))+(DATE(A352,B352,1)),4-WEEKDAY((DATE(A352,B352,1)))+(DATE(A352,B352,1)))+7</f>
        <v>47009</v>
      </c>
      <c r="E352" s="37">
        <f t="shared" si="175"/>
        <v>47009</v>
      </c>
      <c r="F352" s="14" t="str">
        <f t="shared" si="176"/>
        <v/>
      </c>
    </row>
    <row r="353" spans="1:6" ht="13.9" customHeight="1" x14ac:dyDescent="0.15">
      <c r="A353" s="10">
        <v>2028</v>
      </c>
      <c r="B353" s="10">
        <f t="shared" si="148"/>
        <v>9</v>
      </c>
      <c r="C353" s="67">
        <f t="shared" si="186"/>
        <v>46997</v>
      </c>
      <c r="D353" s="38">
        <f t="shared" ref="D353" si="202">IF(WEEKDAY(DATE(A353,B353,1))&gt;3,(7-(WEEKDAY(DATE(A353,B353,1))-3))+DATE(A353,B353,1),3-WEEKDAY(DATE(A353,B353,1))+DATE(A353,B353,1))+14</f>
        <v>47015</v>
      </c>
      <c r="E353" s="37">
        <f t="shared" si="175"/>
        <v>47015</v>
      </c>
      <c r="F353" s="14" t="str">
        <f t="shared" si="176"/>
        <v/>
      </c>
    </row>
    <row r="354" spans="1:6" ht="13.9" customHeight="1" x14ac:dyDescent="0.15">
      <c r="A354" s="10">
        <v>2028</v>
      </c>
      <c r="B354" s="10">
        <f t="shared" si="148"/>
        <v>9</v>
      </c>
      <c r="C354" s="67">
        <f t="shared" si="186"/>
        <v>46997</v>
      </c>
      <c r="D354" s="36">
        <f t="shared" ref="D354" si="203">IF(WEEKDAY((DATE(A352,B352,1)))&gt;4,(7-(WEEKDAY((DATE(A352,B352,1)))-4))+(DATE(A352,B352,1)),4-WEEKDAY((DATE(A352,B352,1)))+(DATE(A352,B352,1)))+21</f>
        <v>47023</v>
      </c>
      <c r="E354" s="37">
        <f t="shared" si="175"/>
        <v>47023</v>
      </c>
      <c r="F354" s="14" t="str">
        <f t="shared" si="176"/>
        <v/>
      </c>
    </row>
    <row r="355" spans="1:6" ht="13.9" customHeight="1" x14ac:dyDescent="0.15">
      <c r="A355" s="10">
        <v>2028</v>
      </c>
      <c r="B355" s="10">
        <f t="shared" si="148"/>
        <v>10</v>
      </c>
      <c r="C355" s="67">
        <f t="shared" si="186"/>
        <v>47027</v>
      </c>
      <c r="D355" s="36">
        <f t="shared" ref="D355" si="204">IF(WEEKDAY((DATE(A355,B355,1)))&gt;4,(7-(WEEKDAY((DATE(A355,B355,1)))-4))+(DATE(A355,B355,1)),4-WEEKDAY((DATE(A355,B355,1)))+(DATE(A355,B355,1)))+7</f>
        <v>47037</v>
      </c>
      <c r="E355" s="37">
        <f t="shared" si="175"/>
        <v>47037</v>
      </c>
      <c r="F355" s="14" t="str">
        <f t="shared" si="176"/>
        <v/>
      </c>
    </row>
    <row r="356" spans="1:6" ht="13.9" customHeight="1" x14ac:dyDescent="0.15">
      <c r="A356" s="10">
        <v>2028</v>
      </c>
      <c r="B356" s="10">
        <f t="shared" si="148"/>
        <v>10</v>
      </c>
      <c r="C356" s="67">
        <f t="shared" si="186"/>
        <v>47027</v>
      </c>
      <c r="D356" s="38">
        <f t="shared" ref="D356" si="205">IF(WEEKDAY(DATE(A356,B356,1))&gt;3,(7-(WEEKDAY(DATE(A356,B356,1))-3))+DATE(A356,B356,1),3-WEEKDAY(DATE(A356,B356,1))+DATE(A356,B356,1))+14</f>
        <v>47043</v>
      </c>
      <c r="E356" s="37">
        <f t="shared" si="175"/>
        <v>47043</v>
      </c>
      <c r="F356" s="14" t="str">
        <f t="shared" si="176"/>
        <v/>
      </c>
    </row>
    <row r="357" spans="1:6" ht="13.9" customHeight="1" x14ac:dyDescent="0.15">
      <c r="A357" s="10">
        <v>2028</v>
      </c>
      <c r="B357" s="10">
        <f t="shared" si="148"/>
        <v>10</v>
      </c>
      <c r="C357" s="67">
        <f t="shared" si="186"/>
        <v>47027</v>
      </c>
      <c r="D357" s="36">
        <f t="shared" ref="D357" si="206">IF(WEEKDAY((DATE(A355,B355,1)))&gt;4,(7-(WEEKDAY((DATE(A355,B355,1)))-4))+(DATE(A355,B355,1)),4-WEEKDAY((DATE(A355,B355,1)))+(DATE(A355,B355,1)))+21</f>
        <v>47051</v>
      </c>
      <c r="E357" s="37">
        <f t="shared" si="175"/>
        <v>47051</v>
      </c>
      <c r="F357" s="14" t="str">
        <f t="shared" si="176"/>
        <v/>
      </c>
    </row>
    <row r="358" spans="1:6" ht="13.9" customHeight="1" x14ac:dyDescent="0.15">
      <c r="A358" s="10">
        <v>2028</v>
      </c>
      <c r="B358" s="10">
        <f t="shared" si="148"/>
        <v>11</v>
      </c>
      <c r="C358" s="67">
        <f t="shared" si="186"/>
        <v>47058</v>
      </c>
      <c r="D358" s="36">
        <f t="shared" ref="D358" si="207">IF(WEEKDAY((DATE(A358,B358,1)))&gt;4,(7-(WEEKDAY((DATE(A358,B358,1)))-4))+(DATE(A358,B358,1)),4-WEEKDAY((DATE(A358,B358,1)))+(DATE(A358,B358,1)))+7</f>
        <v>47065</v>
      </c>
      <c r="E358" s="37">
        <f t="shared" si="175"/>
        <v>47065</v>
      </c>
      <c r="F358" s="14" t="str">
        <f t="shared" si="176"/>
        <v/>
      </c>
    </row>
    <row r="359" spans="1:6" ht="13.9" customHeight="1" x14ac:dyDescent="0.15">
      <c r="A359" s="10">
        <v>2028</v>
      </c>
      <c r="B359" s="10">
        <f t="shared" si="148"/>
        <v>11</v>
      </c>
      <c r="C359" s="67">
        <f t="shared" si="186"/>
        <v>47058</v>
      </c>
      <c r="D359" s="38">
        <f t="shared" ref="D359" si="208">IF(WEEKDAY(DATE(A359,B359,1))&gt;3,(7-(WEEKDAY(DATE(A359,B359,1))-3))+DATE(A359,B359,1),3-WEEKDAY(DATE(A359,B359,1))+DATE(A359,B359,1))+14</f>
        <v>47078</v>
      </c>
      <c r="E359" s="37">
        <f t="shared" si="175"/>
        <v>47078</v>
      </c>
      <c r="F359" s="14" t="str">
        <f t="shared" si="176"/>
        <v/>
      </c>
    </row>
    <row r="360" spans="1:6" ht="13.9" customHeight="1" x14ac:dyDescent="0.15">
      <c r="A360" s="10">
        <v>2028</v>
      </c>
      <c r="B360" s="10">
        <f t="shared" si="148"/>
        <v>11</v>
      </c>
      <c r="C360" s="67">
        <f t="shared" si="186"/>
        <v>47058</v>
      </c>
      <c r="D360" s="36">
        <f t="shared" ref="D360" si="209">IF(WEEKDAY((DATE(A358,B358,1)))&gt;4,(7-(WEEKDAY((DATE(A358,B358,1)))-4))+(DATE(A358,B358,1)),4-WEEKDAY((DATE(A358,B358,1)))+(DATE(A358,B358,1)))+21</f>
        <v>47079</v>
      </c>
      <c r="E360" s="37">
        <f t="shared" si="175"/>
        <v>47079</v>
      </c>
      <c r="F360" s="14" t="str">
        <f t="shared" si="176"/>
        <v/>
      </c>
    </row>
    <row r="361" spans="1:6" ht="13.9" customHeight="1" x14ac:dyDescent="0.15">
      <c r="A361" s="10">
        <v>2028</v>
      </c>
      <c r="B361" s="10">
        <f t="shared" si="148"/>
        <v>12</v>
      </c>
      <c r="C361" s="67">
        <f t="shared" si="186"/>
        <v>47088</v>
      </c>
      <c r="D361" s="36">
        <f t="shared" ref="D361" si="210">IF(WEEKDAY((DATE(A361,B361,1)))&gt;4,(7-(WEEKDAY((DATE(A361,B361,1)))-4))+(DATE(A361,B361,1)),4-WEEKDAY((DATE(A361,B361,1)))+(DATE(A361,B361,1)))+7</f>
        <v>47100</v>
      </c>
      <c r="E361" s="37">
        <f t="shared" si="175"/>
        <v>47100</v>
      </c>
      <c r="F361" s="14" t="str">
        <f t="shared" si="176"/>
        <v/>
      </c>
    </row>
    <row r="362" spans="1:6" ht="13.9" customHeight="1" x14ac:dyDescent="0.15">
      <c r="A362" s="10">
        <v>2028</v>
      </c>
      <c r="B362" s="10">
        <f t="shared" si="148"/>
        <v>12</v>
      </c>
      <c r="C362" s="67">
        <f t="shared" si="186"/>
        <v>47088</v>
      </c>
      <c r="D362" s="38">
        <f t="shared" ref="D362" si="211">IF(WEEKDAY(DATE(A362,B362,1))&gt;3,(7-(WEEKDAY(DATE(A362,B362,1))-3))+DATE(A362,B362,1),3-WEEKDAY(DATE(A362,B362,1))+DATE(A362,B362,1))+14</f>
        <v>47106</v>
      </c>
      <c r="E362" s="37">
        <f t="shared" si="175"/>
        <v>47106</v>
      </c>
      <c r="F362" s="14" t="str">
        <f t="shared" si="176"/>
        <v/>
      </c>
    </row>
    <row r="363" spans="1:6" ht="13.9" customHeight="1" x14ac:dyDescent="0.15">
      <c r="A363" s="10">
        <v>2028</v>
      </c>
      <c r="B363" s="10">
        <f t="shared" si="148"/>
        <v>12</v>
      </c>
      <c r="C363" s="67">
        <f t="shared" si="186"/>
        <v>47088</v>
      </c>
      <c r="D363" s="36">
        <f t="shared" ref="D363" si="212">IF(WEEKDAY((DATE(A361,B361,1)))&gt;4,(7-(WEEKDAY((DATE(A361,B361,1)))-4))+(DATE(A361,B361,1)),4-WEEKDAY((DATE(A361,B361,1)))+(DATE(A361,B361,1)))+21</f>
        <v>47114</v>
      </c>
      <c r="E363" s="37">
        <f t="shared" si="175"/>
        <v>47114</v>
      </c>
      <c r="F363" s="14" t="str">
        <f t="shared" si="176"/>
        <v/>
      </c>
    </row>
    <row r="364" spans="1:6" ht="13.9" customHeight="1" x14ac:dyDescent="0.15">
      <c r="A364" s="10">
        <v>2029</v>
      </c>
      <c r="B364" s="10">
        <f t="shared" si="148"/>
        <v>1</v>
      </c>
      <c r="C364" s="67">
        <f t="shared" si="186"/>
        <v>47119</v>
      </c>
      <c r="D364" s="36">
        <f t="shared" ref="D364" si="213">IF(WEEKDAY((DATE(A364,B364,1)))&gt;4,(7-(WEEKDAY((DATE(A364,B364,1)))-4))+(DATE(A364,B364,1)),4-WEEKDAY((DATE(A364,B364,1)))+(DATE(A364,B364,1)))+7</f>
        <v>47128</v>
      </c>
      <c r="E364" s="37">
        <f t="shared" si="175"/>
        <v>47128</v>
      </c>
      <c r="F364" s="14" t="str">
        <f t="shared" si="176"/>
        <v/>
      </c>
    </row>
    <row r="365" spans="1:6" ht="13.9" customHeight="1" x14ac:dyDescent="0.15">
      <c r="A365" s="10">
        <v>2029</v>
      </c>
      <c r="B365" s="10">
        <f t="shared" si="148"/>
        <v>1</v>
      </c>
      <c r="C365" s="67">
        <f t="shared" si="186"/>
        <v>47119</v>
      </c>
      <c r="D365" s="38">
        <f t="shared" ref="D365" si="214">IF(WEEKDAY(DATE(A365,B365,1))&gt;3,(7-(WEEKDAY(DATE(A365,B365,1))-3))+DATE(A365,B365,1),3-WEEKDAY(DATE(A365,B365,1))+DATE(A365,B365,1))+14</f>
        <v>47134</v>
      </c>
      <c r="E365" s="37">
        <f t="shared" si="175"/>
        <v>47134</v>
      </c>
      <c r="F365" s="14" t="str">
        <f t="shared" si="176"/>
        <v/>
      </c>
    </row>
    <row r="366" spans="1:6" ht="13.9" customHeight="1" x14ac:dyDescent="0.15">
      <c r="A366" s="10">
        <v>2029</v>
      </c>
      <c r="B366" s="10">
        <f t="shared" si="148"/>
        <v>1</v>
      </c>
      <c r="C366" s="67">
        <f t="shared" si="186"/>
        <v>47119</v>
      </c>
      <c r="D366" s="36">
        <f t="shared" ref="D366" si="215">IF(WEEKDAY((DATE(A364,B364,1)))&gt;4,(7-(WEEKDAY((DATE(A364,B364,1)))-4))+(DATE(A364,B364,1)),4-WEEKDAY((DATE(A364,B364,1)))+(DATE(A364,B364,1)))+21</f>
        <v>47142</v>
      </c>
      <c r="E366" s="37">
        <f t="shared" si="175"/>
        <v>47142</v>
      </c>
      <c r="F366" s="14" t="str">
        <f t="shared" si="176"/>
        <v/>
      </c>
    </row>
    <row r="367" spans="1:6" ht="13.9" customHeight="1" x14ac:dyDescent="0.15">
      <c r="A367" s="10">
        <v>2029</v>
      </c>
      <c r="B367" s="10">
        <f t="shared" si="148"/>
        <v>2</v>
      </c>
      <c r="C367" s="67">
        <f t="shared" si="186"/>
        <v>47150</v>
      </c>
      <c r="D367" s="36">
        <f t="shared" ref="D367" si="216">IF(WEEKDAY((DATE(A367,B367,1)))&gt;4,(7-(WEEKDAY((DATE(A367,B367,1)))-4))+(DATE(A367,B367,1)),4-WEEKDAY((DATE(A367,B367,1)))+(DATE(A367,B367,1)))+7</f>
        <v>47163</v>
      </c>
      <c r="E367" s="37">
        <f t="shared" si="175"/>
        <v>47163</v>
      </c>
      <c r="F367" s="14" t="str">
        <f t="shared" si="176"/>
        <v/>
      </c>
    </row>
    <row r="368" spans="1:6" ht="13.9" customHeight="1" x14ac:dyDescent="0.15">
      <c r="A368" s="10">
        <v>2029</v>
      </c>
      <c r="B368" s="10">
        <f t="shared" si="148"/>
        <v>2</v>
      </c>
      <c r="C368" s="67">
        <f t="shared" si="186"/>
        <v>47150</v>
      </c>
      <c r="D368" s="38">
        <f t="shared" ref="D368" si="217">IF(WEEKDAY(DATE(A368,B368,1))&gt;3,(7-(WEEKDAY(DATE(A368,B368,1))-3))+DATE(A368,B368,1),3-WEEKDAY(DATE(A368,B368,1))+DATE(A368,B368,1))+14</f>
        <v>47169</v>
      </c>
      <c r="E368" s="37">
        <f t="shared" si="175"/>
        <v>47169</v>
      </c>
      <c r="F368" s="14" t="str">
        <f t="shared" si="176"/>
        <v/>
      </c>
    </row>
    <row r="369" spans="1:6" ht="13.9" customHeight="1" x14ac:dyDescent="0.15">
      <c r="A369" s="10">
        <v>2029</v>
      </c>
      <c r="B369" s="10">
        <f t="shared" ref="B369:B432" si="218">IF(B366+1&gt;12,B366+1-12,B366+1)</f>
        <v>2</v>
      </c>
      <c r="C369" s="67">
        <f t="shared" si="186"/>
        <v>47150</v>
      </c>
      <c r="D369" s="36">
        <f t="shared" ref="D369" si="219">IF(WEEKDAY((DATE(A367,B367,1)))&gt;4,(7-(WEEKDAY((DATE(A367,B367,1)))-4))+(DATE(A367,B367,1)),4-WEEKDAY((DATE(A367,B367,1)))+(DATE(A367,B367,1)))+21</f>
        <v>47177</v>
      </c>
      <c r="E369" s="37">
        <f t="shared" si="175"/>
        <v>47177</v>
      </c>
      <c r="F369" s="14" t="str">
        <f t="shared" si="176"/>
        <v/>
      </c>
    </row>
    <row r="370" spans="1:6" ht="13.9" customHeight="1" x14ac:dyDescent="0.15">
      <c r="A370" s="10">
        <v>2029</v>
      </c>
      <c r="B370" s="10">
        <f t="shared" si="218"/>
        <v>3</v>
      </c>
      <c r="C370" s="67">
        <f t="shared" si="186"/>
        <v>47178</v>
      </c>
      <c r="D370" s="36">
        <f t="shared" ref="D370" si="220">IF(WEEKDAY((DATE(A370,B370,1)))&gt;4,(7-(WEEKDAY((DATE(A370,B370,1)))-4))+(DATE(A370,B370,1)),4-WEEKDAY((DATE(A370,B370,1)))+(DATE(A370,B370,1)))+7</f>
        <v>47191</v>
      </c>
      <c r="E370" s="37">
        <f t="shared" si="175"/>
        <v>47191</v>
      </c>
      <c r="F370" s="14" t="str">
        <f t="shared" si="176"/>
        <v/>
      </c>
    </row>
    <row r="371" spans="1:6" ht="13.9" customHeight="1" x14ac:dyDescent="0.15">
      <c r="A371" s="10">
        <v>2029</v>
      </c>
      <c r="B371" s="10">
        <f t="shared" si="218"/>
        <v>3</v>
      </c>
      <c r="C371" s="67">
        <f t="shared" si="186"/>
        <v>47178</v>
      </c>
      <c r="D371" s="38">
        <f t="shared" ref="D371" si="221">IF(WEEKDAY(DATE(A371,B371,1))&gt;3,(7-(WEEKDAY(DATE(A371,B371,1))-3))+DATE(A371,B371,1),3-WEEKDAY(DATE(A371,B371,1))+DATE(A371,B371,1))+14</f>
        <v>47197</v>
      </c>
      <c r="E371" s="37">
        <f t="shared" si="175"/>
        <v>47197</v>
      </c>
      <c r="F371" s="14" t="str">
        <f t="shared" si="176"/>
        <v/>
      </c>
    </row>
    <row r="372" spans="1:6" ht="13.9" customHeight="1" x14ac:dyDescent="0.15">
      <c r="A372" s="10">
        <v>2029</v>
      </c>
      <c r="B372" s="10">
        <f t="shared" si="218"/>
        <v>3</v>
      </c>
      <c r="C372" s="67">
        <f t="shared" si="186"/>
        <v>47178</v>
      </c>
      <c r="D372" s="36">
        <f t="shared" ref="D372" si="222">IF(WEEKDAY((DATE(A370,B370,1)))&gt;4,(7-(WEEKDAY((DATE(A370,B370,1)))-4))+(DATE(A370,B370,1)),4-WEEKDAY((DATE(A370,B370,1)))+(DATE(A370,B370,1)))+21</f>
        <v>47205</v>
      </c>
      <c r="E372" s="37">
        <f t="shared" si="175"/>
        <v>47205</v>
      </c>
      <c r="F372" s="14" t="str">
        <f t="shared" si="176"/>
        <v/>
      </c>
    </row>
    <row r="373" spans="1:6" ht="13.9" customHeight="1" x14ac:dyDescent="0.15">
      <c r="A373" s="10">
        <v>2029</v>
      </c>
      <c r="B373" s="10">
        <f t="shared" si="218"/>
        <v>4</v>
      </c>
      <c r="C373" s="67">
        <f t="shared" si="186"/>
        <v>47209</v>
      </c>
      <c r="D373" s="36">
        <f t="shared" ref="D373" si="223">IF(WEEKDAY((DATE(A373,B373,1)))&gt;4,(7-(WEEKDAY((DATE(A373,B373,1)))-4))+(DATE(A373,B373,1)),4-WEEKDAY((DATE(A373,B373,1)))+(DATE(A373,B373,1)))+7</f>
        <v>47219</v>
      </c>
      <c r="E373" s="37">
        <f t="shared" si="175"/>
        <v>47219</v>
      </c>
      <c r="F373" s="14" t="str">
        <f t="shared" si="176"/>
        <v/>
      </c>
    </row>
    <row r="374" spans="1:6" ht="13.9" customHeight="1" x14ac:dyDescent="0.15">
      <c r="A374" s="10">
        <v>2029</v>
      </c>
      <c r="B374" s="10">
        <f t="shared" si="218"/>
        <v>4</v>
      </c>
      <c r="C374" s="67">
        <f t="shared" ref="C374:C409" si="224">DATE(A374,B374,1)</f>
        <v>47209</v>
      </c>
      <c r="D374" s="38">
        <f t="shared" ref="D374" si="225">IF(WEEKDAY(DATE(A374,B374,1))&gt;3,(7-(WEEKDAY(DATE(A374,B374,1))-3))+DATE(A374,B374,1),3-WEEKDAY(DATE(A374,B374,1))+DATE(A374,B374,1))+14</f>
        <v>47225</v>
      </c>
      <c r="E374" s="37">
        <f t="shared" si="175"/>
        <v>47225</v>
      </c>
      <c r="F374" s="14" t="str">
        <f t="shared" si="176"/>
        <v/>
      </c>
    </row>
    <row r="375" spans="1:6" ht="13.9" customHeight="1" x14ac:dyDescent="0.15">
      <c r="A375" s="10">
        <v>2029</v>
      </c>
      <c r="B375" s="10">
        <f t="shared" si="218"/>
        <v>4</v>
      </c>
      <c r="C375" s="67">
        <f t="shared" si="224"/>
        <v>47209</v>
      </c>
      <c r="D375" s="36">
        <f t="shared" ref="D375" si="226">IF(WEEKDAY((DATE(A373,B373,1)))&gt;4,(7-(WEEKDAY((DATE(A373,B373,1)))-4))+(DATE(A373,B373,1)),4-WEEKDAY((DATE(A373,B373,1)))+(DATE(A373,B373,1)))+21</f>
        <v>47233</v>
      </c>
      <c r="E375" s="37">
        <f t="shared" si="175"/>
        <v>47233</v>
      </c>
      <c r="F375" s="14" t="str">
        <f t="shared" si="176"/>
        <v/>
      </c>
    </row>
    <row r="376" spans="1:6" ht="13.9" customHeight="1" x14ac:dyDescent="0.15">
      <c r="A376" s="10">
        <v>2029</v>
      </c>
      <c r="B376" s="10">
        <f t="shared" si="218"/>
        <v>5</v>
      </c>
      <c r="C376" s="67">
        <f t="shared" si="224"/>
        <v>47239</v>
      </c>
      <c r="D376" s="36">
        <f t="shared" ref="D376" si="227">IF(WEEKDAY((DATE(A376,B376,1)))&gt;4,(7-(WEEKDAY((DATE(A376,B376,1)))-4))+(DATE(A376,B376,1)),4-WEEKDAY((DATE(A376,B376,1)))+(DATE(A376,B376,1)))+7</f>
        <v>47247</v>
      </c>
      <c r="E376" s="37">
        <f t="shared" si="175"/>
        <v>47247</v>
      </c>
      <c r="F376" s="14" t="str">
        <f t="shared" si="176"/>
        <v/>
      </c>
    </row>
    <row r="377" spans="1:6" ht="13.9" customHeight="1" x14ac:dyDescent="0.15">
      <c r="A377" s="10">
        <v>2029</v>
      </c>
      <c r="B377" s="10">
        <f t="shared" si="218"/>
        <v>5</v>
      </c>
      <c r="C377" s="67">
        <f t="shared" si="224"/>
        <v>47239</v>
      </c>
      <c r="D377" s="38">
        <f t="shared" ref="D377" si="228">IF(WEEKDAY(DATE(A377,B377,1))&gt;3,(7-(WEEKDAY(DATE(A377,B377,1))-3))+DATE(A377,B377,1),3-WEEKDAY(DATE(A377,B377,1))+DATE(A377,B377,1))+14</f>
        <v>47253</v>
      </c>
      <c r="E377" s="37">
        <f t="shared" si="175"/>
        <v>47253</v>
      </c>
      <c r="F377" s="14" t="str">
        <f t="shared" si="176"/>
        <v/>
      </c>
    </row>
    <row r="378" spans="1:6" ht="13.9" customHeight="1" x14ac:dyDescent="0.15">
      <c r="A378" s="10">
        <v>2029</v>
      </c>
      <c r="B378" s="10">
        <f t="shared" si="218"/>
        <v>5</v>
      </c>
      <c r="C378" s="67">
        <f t="shared" si="224"/>
        <v>47239</v>
      </c>
      <c r="D378" s="36">
        <f t="shared" ref="D378" si="229">IF(WEEKDAY((DATE(A376,B376,1)))&gt;4,(7-(WEEKDAY((DATE(A376,B376,1)))-4))+(DATE(A376,B376,1)),4-WEEKDAY((DATE(A376,B376,1)))+(DATE(A376,B376,1)))+21</f>
        <v>47261</v>
      </c>
      <c r="E378" s="37">
        <f t="shared" si="175"/>
        <v>47261</v>
      </c>
      <c r="F378" s="14" t="str">
        <f t="shared" si="176"/>
        <v/>
      </c>
    </row>
    <row r="379" spans="1:6" ht="13.9" customHeight="1" x14ac:dyDescent="0.15">
      <c r="A379" s="10">
        <v>2029</v>
      </c>
      <c r="B379" s="10">
        <f t="shared" si="218"/>
        <v>6</v>
      </c>
      <c r="C379" s="67">
        <f t="shared" si="224"/>
        <v>47270</v>
      </c>
      <c r="D379" s="36">
        <f t="shared" ref="D379" si="230">IF(WEEKDAY((DATE(A379,B379,1)))&gt;4,(7-(WEEKDAY((DATE(A379,B379,1)))-4))+(DATE(A379,B379,1)),4-WEEKDAY((DATE(A379,B379,1)))+(DATE(A379,B379,1)))+7</f>
        <v>47282</v>
      </c>
      <c r="E379" s="37">
        <f t="shared" si="175"/>
        <v>47282</v>
      </c>
      <c r="F379" s="14" t="str">
        <f t="shared" si="176"/>
        <v/>
      </c>
    </row>
    <row r="380" spans="1:6" ht="13.9" customHeight="1" x14ac:dyDescent="0.15">
      <c r="A380" s="10">
        <v>2029</v>
      </c>
      <c r="B380" s="10">
        <f t="shared" si="218"/>
        <v>6</v>
      </c>
      <c r="C380" s="67">
        <f t="shared" si="224"/>
        <v>47270</v>
      </c>
      <c r="D380" s="38">
        <f t="shared" ref="D380" si="231">IF(WEEKDAY(DATE(A380,B380,1))&gt;3,(7-(WEEKDAY(DATE(A380,B380,1))-3))+DATE(A380,B380,1),3-WEEKDAY(DATE(A380,B380,1))+DATE(A380,B380,1))+14</f>
        <v>47288</v>
      </c>
      <c r="E380" s="37">
        <f t="shared" si="175"/>
        <v>47288</v>
      </c>
      <c r="F380" s="14" t="str">
        <f t="shared" si="176"/>
        <v/>
      </c>
    </row>
    <row r="381" spans="1:6" ht="13.9" customHeight="1" x14ac:dyDescent="0.15">
      <c r="A381" s="10">
        <v>2029</v>
      </c>
      <c r="B381" s="10">
        <f t="shared" si="218"/>
        <v>6</v>
      </c>
      <c r="C381" s="67">
        <f t="shared" si="224"/>
        <v>47270</v>
      </c>
      <c r="D381" s="36">
        <f t="shared" ref="D381" si="232">IF(WEEKDAY((DATE(A379,B379,1)))&gt;4,(7-(WEEKDAY((DATE(A379,B379,1)))-4))+(DATE(A379,B379,1)),4-WEEKDAY((DATE(A379,B379,1)))+(DATE(A379,B379,1)))+21</f>
        <v>47296</v>
      </c>
      <c r="E381" s="37">
        <f t="shared" si="175"/>
        <v>47296</v>
      </c>
      <c r="F381" s="14" t="str">
        <f t="shared" si="176"/>
        <v/>
      </c>
    </row>
    <row r="382" spans="1:6" ht="13.9" customHeight="1" x14ac:dyDescent="0.15">
      <c r="A382" s="10">
        <v>2029</v>
      </c>
      <c r="B382" s="10">
        <f t="shared" si="218"/>
        <v>7</v>
      </c>
      <c r="C382" s="67">
        <f t="shared" si="224"/>
        <v>47300</v>
      </c>
      <c r="D382" s="36">
        <f t="shared" ref="D382" si="233">IF(WEEKDAY((DATE(A382,B382,1)))&gt;4,(7-(WEEKDAY((DATE(A382,B382,1)))-4))+(DATE(A382,B382,1)),4-WEEKDAY((DATE(A382,B382,1)))+(DATE(A382,B382,1)))+7</f>
        <v>47310</v>
      </c>
      <c r="E382" s="37">
        <f t="shared" si="175"/>
        <v>47310</v>
      </c>
      <c r="F382" s="14" t="str">
        <f t="shared" si="176"/>
        <v/>
      </c>
    </row>
    <row r="383" spans="1:6" ht="13.9" customHeight="1" x14ac:dyDescent="0.15">
      <c r="A383" s="10">
        <v>2029</v>
      </c>
      <c r="B383" s="10">
        <f t="shared" si="218"/>
        <v>7</v>
      </c>
      <c r="C383" s="67">
        <f t="shared" si="224"/>
        <v>47300</v>
      </c>
      <c r="D383" s="38">
        <f t="shared" ref="D383" si="234">IF(WEEKDAY(DATE(A383,B383,1))&gt;3,(7-(WEEKDAY(DATE(A383,B383,1))-3))+DATE(A383,B383,1),3-WEEKDAY(DATE(A383,B383,1))+DATE(A383,B383,1))+14</f>
        <v>47316</v>
      </c>
      <c r="E383" s="37">
        <f t="shared" si="175"/>
        <v>47316</v>
      </c>
      <c r="F383" s="14" t="str">
        <f t="shared" si="176"/>
        <v/>
      </c>
    </row>
    <row r="384" spans="1:6" ht="13.9" customHeight="1" x14ac:dyDescent="0.15">
      <c r="A384" s="10">
        <v>2029</v>
      </c>
      <c r="B384" s="10">
        <f t="shared" si="218"/>
        <v>7</v>
      </c>
      <c r="C384" s="67">
        <f t="shared" si="224"/>
        <v>47300</v>
      </c>
      <c r="D384" s="36">
        <f t="shared" ref="D384" si="235">IF(WEEKDAY((DATE(A382,B382,1)))&gt;4,(7-(WEEKDAY((DATE(A382,B382,1)))-4))+(DATE(A382,B382,1)),4-WEEKDAY((DATE(A382,B382,1)))+(DATE(A382,B382,1)))+21</f>
        <v>47324</v>
      </c>
      <c r="E384" s="37">
        <f t="shared" si="175"/>
        <v>47324</v>
      </c>
      <c r="F384" s="14" t="str">
        <f t="shared" si="176"/>
        <v/>
      </c>
    </row>
    <row r="385" spans="1:6" ht="13.9" customHeight="1" x14ac:dyDescent="0.15">
      <c r="A385" s="10">
        <v>2029</v>
      </c>
      <c r="B385" s="10">
        <f t="shared" si="218"/>
        <v>8</v>
      </c>
      <c r="C385" s="67">
        <f t="shared" si="224"/>
        <v>47331</v>
      </c>
      <c r="D385" s="36">
        <f t="shared" ref="D385" si="236">IF(WEEKDAY((DATE(A385,B385,1)))&gt;4,(7-(WEEKDAY((DATE(A385,B385,1)))-4))+(DATE(A385,B385,1)),4-WEEKDAY((DATE(A385,B385,1)))+(DATE(A385,B385,1)))+7</f>
        <v>47338</v>
      </c>
      <c r="E385" s="37">
        <f t="shared" si="175"/>
        <v>47338</v>
      </c>
      <c r="F385" s="14" t="str">
        <f t="shared" si="176"/>
        <v/>
      </c>
    </row>
    <row r="386" spans="1:6" ht="13.9" customHeight="1" x14ac:dyDescent="0.15">
      <c r="A386" s="10">
        <v>2029</v>
      </c>
      <c r="B386" s="10">
        <f t="shared" si="218"/>
        <v>8</v>
      </c>
      <c r="C386" s="67">
        <f t="shared" si="224"/>
        <v>47331</v>
      </c>
      <c r="D386" s="38">
        <f t="shared" ref="D386" si="237">IF(WEEKDAY(DATE(A386,B386,1))&gt;3,(7-(WEEKDAY(DATE(A386,B386,1))-3))+DATE(A386,B386,1),3-WEEKDAY(DATE(A386,B386,1))+DATE(A386,B386,1))+14</f>
        <v>47351</v>
      </c>
      <c r="E386" s="37">
        <f t="shared" si="175"/>
        <v>47351</v>
      </c>
      <c r="F386" s="14" t="str">
        <f t="shared" si="176"/>
        <v/>
      </c>
    </row>
    <row r="387" spans="1:6" ht="13.9" customHeight="1" x14ac:dyDescent="0.15">
      <c r="A387" s="10">
        <v>2029</v>
      </c>
      <c r="B387" s="10">
        <f t="shared" si="218"/>
        <v>8</v>
      </c>
      <c r="C387" s="67">
        <f t="shared" si="224"/>
        <v>47331</v>
      </c>
      <c r="D387" s="36">
        <f t="shared" ref="D387" si="238">IF(WEEKDAY((DATE(A385,B385,1)))&gt;4,(7-(WEEKDAY((DATE(A385,B385,1)))-4))+(DATE(A385,B385,1)),4-WEEKDAY((DATE(A385,B385,1)))+(DATE(A385,B385,1)))+21</f>
        <v>47352</v>
      </c>
      <c r="E387" s="37">
        <f t="shared" si="175"/>
        <v>47352</v>
      </c>
      <c r="F387" s="14" t="str">
        <f t="shared" si="176"/>
        <v/>
      </c>
    </row>
    <row r="388" spans="1:6" ht="13.9" customHeight="1" x14ac:dyDescent="0.15">
      <c r="A388" s="10">
        <v>2029</v>
      </c>
      <c r="B388" s="10">
        <f t="shared" si="218"/>
        <v>9</v>
      </c>
      <c r="C388" s="67">
        <f t="shared" si="224"/>
        <v>47362</v>
      </c>
      <c r="D388" s="36">
        <f t="shared" ref="D388" si="239">IF(WEEKDAY((DATE(A388,B388,1)))&gt;4,(7-(WEEKDAY((DATE(A388,B388,1)))-4))+(DATE(A388,B388,1)),4-WEEKDAY((DATE(A388,B388,1)))+(DATE(A388,B388,1)))+7</f>
        <v>47373</v>
      </c>
      <c r="E388" s="37">
        <f t="shared" si="175"/>
        <v>47373</v>
      </c>
      <c r="F388" s="14" t="str">
        <f t="shared" si="176"/>
        <v/>
      </c>
    </row>
    <row r="389" spans="1:6" ht="13.9" customHeight="1" x14ac:dyDescent="0.15">
      <c r="A389" s="10">
        <v>2029</v>
      </c>
      <c r="B389" s="10">
        <f t="shared" si="218"/>
        <v>9</v>
      </c>
      <c r="C389" s="67">
        <f t="shared" si="224"/>
        <v>47362</v>
      </c>
      <c r="D389" s="38">
        <f t="shared" ref="D389" si="240">IF(WEEKDAY(DATE(A389,B389,1))&gt;3,(7-(WEEKDAY(DATE(A389,B389,1))-3))+DATE(A389,B389,1),3-WEEKDAY(DATE(A389,B389,1))+DATE(A389,B389,1))+14</f>
        <v>47379</v>
      </c>
      <c r="E389" s="37">
        <f t="shared" si="175"/>
        <v>47379</v>
      </c>
      <c r="F389" s="14" t="str">
        <f t="shared" si="176"/>
        <v/>
      </c>
    </row>
    <row r="390" spans="1:6" ht="13.9" customHeight="1" x14ac:dyDescent="0.15">
      <c r="A390" s="10">
        <v>2029</v>
      </c>
      <c r="B390" s="10">
        <f t="shared" si="218"/>
        <v>9</v>
      </c>
      <c r="C390" s="67">
        <f t="shared" si="224"/>
        <v>47362</v>
      </c>
      <c r="D390" s="36">
        <f t="shared" ref="D390" si="241">IF(WEEKDAY((DATE(A388,B388,1)))&gt;4,(7-(WEEKDAY((DATE(A388,B388,1)))-4))+(DATE(A388,B388,1)),4-WEEKDAY((DATE(A388,B388,1)))+(DATE(A388,B388,1)))+21</f>
        <v>47387</v>
      </c>
      <c r="E390" s="37">
        <f t="shared" si="175"/>
        <v>47387</v>
      </c>
      <c r="F390" s="14" t="str">
        <f t="shared" si="176"/>
        <v/>
      </c>
    </row>
    <row r="391" spans="1:6" ht="13.9" customHeight="1" x14ac:dyDescent="0.15">
      <c r="A391" s="10">
        <v>2029</v>
      </c>
      <c r="B391" s="10">
        <f t="shared" si="218"/>
        <v>10</v>
      </c>
      <c r="C391" s="67">
        <f t="shared" si="224"/>
        <v>47392</v>
      </c>
      <c r="D391" s="36">
        <f t="shared" ref="D391" si="242">IF(WEEKDAY((DATE(A391,B391,1)))&gt;4,(7-(WEEKDAY((DATE(A391,B391,1)))-4))+(DATE(A391,B391,1)),4-WEEKDAY((DATE(A391,B391,1)))+(DATE(A391,B391,1)))+7</f>
        <v>47401</v>
      </c>
      <c r="E391" s="37">
        <f t="shared" si="175"/>
        <v>47401</v>
      </c>
      <c r="F391" s="14" t="str">
        <f t="shared" si="176"/>
        <v/>
      </c>
    </row>
    <row r="392" spans="1:6" ht="13.9" customHeight="1" x14ac:dyDescent="0.15">
      <c r="A392" s="10">
        <v>2029</v>
      </c>
      <c r="B392" s="10">
        <f t="shared" si="218"/>
        <v>10</v>
      </c>
      <c r="C392" s="67">
        <f t="shared" si="224"/>
        <v>47392</v>
      </c>
      <c r="D392" s="38">
        <f t="shared" ref="D392" si="243">IF(WEEKDAY(DATE(A392,B392,1))&gt;3,(7-(WEEKDAY(DATE(A392,B392,1))-3))+DATE(A392,B392,1),3-WEEKDAY(DATE(A392,B392,1))+DATE(A392,B392,1))+14</f>
        <v>47407</v>
      </c>
      <c r="E392" s="37">
        <f t="shared" ref="E392:E399" si="244">D392</f>
        <v>47407</v>
      </c>
      <c r="F392" s="14" t="str">
        <f t="shared" ref="F392:F399" si="245">IFERROR(INDEX($H$1:$AN$1,1,MATCH(1,H392:AN392)),"")</f>
        <v/>
      </c>
    </row>
    <row r="393" spans="1:6" ht="13.9" customHeight="1" x14ac:dyDescent="0.15">
      <c r="A393" s="10">
        <v>2029</v>
      </c>
      <c r="B393" s="10">
        <f t="shared" si="218"/>
        <v>10</v>
      </c>
      <c r="C393" s="67">
        <f t="shared" si="224"/>
        <v>47392</v>
      </c>
      <c r="D393" s="36">
        <f t="shared" ref="D393" si="246">IF(WEEKDAY((DATE(A391,B391,1)))&gt;4,(7-(WEEKDAY((DATE(A391,B391,1)))-4))+(DATE(A391,B391,1)),4-WEEKDAY((DATE(A391,B391,1)))+(DATE(A391,B391,1)))+21</f>
        <v>47415</v>
      </c>
      <c r="E393" s="37">
        <f t="shared" si="244"/>
        <v>47415</v>
      </c>
      <c r="F393" s="14" t="str">
        <f t="shared" si="245"/>
        <v/>
      </c>
    </row>
    <row r="394" spans="1:6" ht="13.9" customHeight="1" x14ac:dyDescent="0.15">
      <c r="A394" s="10">
        <v>2029</v>
      </c>
      <c r="B394" s="10">
        <f t="shared" si="218"/>
        <v>11</v>
      </c>
      <c r="C394" s="67">
        <f t="shared" si="224"/>
        <v>47423</v>
      </c>
      <c r="D394" s="36">
        <f t="shared" ref="D394" si="247">IF(WEEKDAY((DATE(A394,B394,1)))&gt;4,(7-(WEEKDAY((DATE(A394,B394,1)))-4))+(DATE(A394,B394,1)),4-WEEKDAY((DATE(A394,B394,1)))+(DATE(A394,B394,1)))+7</f>
        <v>47436</v>
      </c>
      <c r="E394" s="37">
        <f t="shared" si="244"/>
        <v>47436</v>
      </c>
      <c r="F394" s="14" t="str">
        <f t="shared" si="245"/>
        <v/>
      </c>
    </row>
    <row r="395" spans="1:6" ht="13.9" customHeight="1" x14ac:dyDescent="0.15">
      <c r="A395" s="10">
        <v>2029</v>
      </c>
      <c r="B395" s="10">
        <f t="shared" si="218"/>
        <v>11</v>
      </c>
      <c r="C395" s="67">
        <f t="shared" si="224"/>
        <v>47423</v>
      </c>
      <c r="D395" s="38">
        <f t="shared" ref="D395" si="248">IF(WEEKDAY(DATE(A395,B395,1))&gt;3,(7-(WEEKDAY(DATE(A395,B395,1))-3))+DATE(A395,B395,1),3-WEEKDAY(DATE(A395,B395,1))+DATE(A395,B395,1))+14</f>
        <v>47442</v>
      </c>
      <c r="E395" s="37">
        <f t="shared" si="244"/>
        <v>47442</v>
      </c>
      <c r="F395" s="14" t="str">
        <f t="shared" si="245"/>
        <v/>
      </c>
    </row>
    <row r="396" spans="1:6" ht="13.9" customHeight="1" x14ac:dyDescent="0.15">
      <c r="A396" s="10">
        <v>2029</v>
      </c>
      <c r="B396" s="10">
        <f t="shared" si="218"/>
        <v>11</v>
      </c>
      <c r="C396" s="67">
        <f t="shared" si="224"/>
        <v>47423</v>
      </c>
      <c r="D396" s="36">
        <f t="shared" ref="D396" si="249">IF(WEEKDAY((DATE(A394,B394,1)))&gt;4,(7-(WEEKDAY((DATE(A394,B394,1)))-4))+(DATE(A394,B394,1)),4-WEEKDAY((DATE(A394,B394,1)))+(DATE(A394,B394,1)))+21</f>
        <v>47450</v>
      </c>
      <c r="E396" s="37">
        <f t="shared" si="244"/>
        <v>47450</v>
      </c>
      <c r="F396" s="14" t="str">
        <f t="shared" si="245"/>
        <v/>
      </c>
    </row>
    <row r="397" spans="1:6" ht="13.9" customHeight="1" x14ac:dyDescent="0.15">
      <c r="A397" s="10">
        <v>2029</v>
      </c>
      <c r="B397" s="10">
        <f t="shared" si="218"/>
        <v>12</v>
      </c>
      <c r="C397" s="67">
        <f t="shared" si="224"/>
        <v>47453</v>
      </c>
      <c r="D397" s="36">
        <f t="shared" ref="D397" si="250">IF(WEEKDAY((DATE(A397,B397,1)))&gt;4,(7-(WEEKDAY((DATE(A397,B397,1)))-4))+(DATE(A397,B397,1)),4-WEEKDAY((DATE(A397,B397,1)))+(DATE(A397,B397,1)))+7</f>
        <v>47464</v>
      </c>
      <c r="E397" s="37">
        <f t="shared" si="244"/>
        <v>47464</v>
      </c>
      <c r="F397" s="14" t="str">
        <f t="shared" si="245"/>
        <v/>
      </c>
    </row>
    <row r="398" spans="1:6" ht="13.9" customHeight="1" x14ac:dyDescent="0.15">
      <c r="A398" s="10">
        <v>2029</v>
      </c>
      <c r="B398" s="10">
        <f t="shared" si="218"/>
        <v>12</v>
      </c>
      <c r="C398" s="67">
        <f t="shared" si="224"/>
        <v>47453</v>
      </c>
      <c r="D398" s="38">
        <f t="shared" ref="D398" si="251">IF(WEEKDAY(DATE(A398,B398,1))&gt;3,(7-(WEEKDAY(DATE(A398,B398,1))-3))+DATE(A398,B398,1),3-WEEKDAY(DATE(A398,B398,1))+DATE(A398,B398,1))+14</f>
        <v>47470</v>
      </c>
      <c r="E398" s="37">
        <f t="shared" si="244"/>
        <v>47470</v>
      </c>
      <c r="F398" s="14" t="str">
        <f t="shared" si="245"/>
        <v/>
      </c>
    </row>
    <row r="399" spans="1:6" ht="13.9" customHeight="1" x14ac:dyDescent="0.15">
      <c r="A399" s="10">
        <v>2029</v>
      </c>
      <c r="B399" s="10">
        <f t="shared" si="218"/>
        <v>12</v>
      </c>
      <c r="C399" s="67">
        <f t="shared" si="224"/>
        <v>47453</v>
      </c>
      <c r="D399" s="36">
        <f t="shared" ref="D399" si="252">IF(WEEKDAY((DATE(A397,B397,1)))&gt;4,(7-(WEEKDAY((DATE(A397,B397,1)))-4))+(DATE(A397,B397,1)),4-WEEKDAY((DATE(A397,B397,1)))+(DATE(A397,B397,1)))+21</f>
        <v>47478</v>
      </c>
      <c r="E399" s="37">
        <f t="shared" si="244"/>
        <v>47478</v>
      </c>
      <c r="F399" s="14" t="str">
        <f t="shared" si="245"/>
        <v/>
      </c>
    </row>
    <row r="400" spans="1:6" ht="13.9" customHeight="1" x14ac:dyDescent="0.15">
      <c r="A400" s="10">
        <v>2030</v>
      </c>
      <c r="B400" s="10">
        <f t="shared" si="218"/>
        <v>1</v>
      </c>
      <c r="C400" s="67">
        <f t="shared" si="224"/>
        <v>47484</v>
      </c>
      <c r="D400" s="36">
        <f t="shared" ref="D400" si="253">IF(WEEKDAY((DATE(A400,B400,1)))&gt;4,(7-(WEEKDAY((DATE(A400,B400,1)))-4))+(DATE(A400,B400,1)),4-WEEKDAY((DATE(A400,B400,1)))+(DATE(A400,B400,1)))+7</f>
        <v>47492</v>
      </c>
      <c r="E400" s="37">
        <f t="shared" ref="E400:E435" si="254">D400</f>
        <v>47492</v>
      </c>
      <c r="F400" s="14" t="str">
        <f t="shared" ref="F400:F435" si="255">IFERROR(INDEX($H$1:$AN$1,1,MATCH(1,H400:AN400)),"")</f>
        <v/>
      </c>
    </row>
    <row r="401" spans="1:6" ht="13.9" customHeight="1" x14ac:dyDescent="0.15">
      <c r="A401" s="10">
        <v>2030</v>
      </c>
      <c r="B401" s="10">
        <f t="shared" si="218"/>
        <v>1</v>
      </c>
      <c r="C401" s="67">
        <f t="shared" si="224"/>
        <v>47484</v>
      </c>
      <c r="D401" s="38">
        <f t="shared" ref="D401" si="256">IF(WEEKDAY(DATE(A401,B401,1))&gt;3,(7-(WEEKDAY(DATE(A401,B401,1))-3))+DATE(A401,B401,1),3-WEEKDAY(DATE(A401,B401,1))+DATE(A401,B401,1))+14</f>
        <v>47498</v>
      </c>
      <c r="E401" s="37">
        <f t="shared" si="254"/>
        <v>47498</v>
      </c>
      <c r="F401" s="14" t="str">
        <f t="shared" si="255"/>
        <v/>
      </c>
    </row>
    <row r="402" spans="1:6" ht="13.9" customHeight="1" x14ac:dyDescent="0.15">
      <c r="A402" s="10">
        <v>2030</v>
      </c>
      <c r="B402" s="10">
        <f t="shared" si="218"/>
        <v>1</v>
      </c>
      <c r="C402" s="67">
        <f t="shared" si="224"/>
        <v>47484</v>
      </c>
      <c r="D402" s="36">
        <f t="shared" ref="D402" si="257">IF(WEEKDAY((DATE(A400,B400,1)))&gt;4,(7-(WEEKDAY((DATE(A400,B400,1)))-4))+(DATE(A400,B400,1)),4-WEEKDAY((DATE(A400,B400,1)))+(DATE(A400,B400,1)))+21</f>
        <v>47506</v>
      </c>
      <c r="E402" s="37">
        <f t="shared" si="254"/>
        <v>47506</v>
      </c>
      <c r="F402" s="14" t="str">
        <f t="shared" si="255"/>
        <v/>
      </c>
    </row>
    <row r="403" spans="1:6" ht="13.9" customHeight="1" x14ac:dyDescent="0.15">
      <c r="A403" s="10">
        <v>2030</v>
      </c>
      <c r="B403" s="10">
        <f t="shared" si="218"/>
        <v>2</v>
      </c>
      <c r="C403" s="67">
        <f t="shared" si="224"/>
        <v>47515</v>
      </c>
      <c r="D403" s="36">
        <f t="shared" ref="D403" si="258">IF(WEEKDAY((DATE(A403,B403,1)))&gt;4,(7-(WEEKDAY((DATE(A403,B403,1)))-4))+(DATE(A403,B403,1)),4-WEEKDAY((DATE(A403,B403,1)))+(DATE(A403,B403,1)))+7</f>
        <v>47527</v>
      </c>
      <c r="E403" s="37">
        <f t="shared" si="254"/>
        <v>47527</v>
      </c>
      <c r="F403" s="14" t="str">
        <f t="shared" si="255"/>
        <v/>
      </c>
    </row>
    <row r="404" spans="1:6" ht="13.9" customHeight="1" x14ac:dyDescent="0.15">
      <c r="A404" s="10">
        <v>2030</v>
      </c>
      <c r="B404" s="10">
        <f t="shared" si="218"/>
        <v>2</v>
      </c>
      <c r="C404" s="67">
        <f t="shared" si="224"/>
        <v>47515</v>
      </c>
      <c r="D404" s="38">
        <f t="shared" ref="D404" si="259">IF(WEEKDAY(DATE(A404,B404,1))&gt;3,(7-(WEEKDAY(DATE(A404,B404,1))-3))+DATE(A404,B404,1),3-WEEKDAY(DATE(A404,B404,1))+DATE(A404,B404,1))+14</f>
        <v>47533</v>
      </c>
      <c r="E404" s="37">
        <f t="shared" si="254"/>
        <v>47533</v>
      </c>
      <c r="F404" s="14" t="str">
        <f t="shared" si="255"/>
        <v/>
      </c>
    </row>
    <row r="405" spans="1:6" ht="13.9" customHeight="1" x14ac:dyDescent="0.15">
      <c r="A405" s="10">
        <v>2030</v>
      </c>
      <c r="B405" s="10">
        <f t="shared" si="218"/>
        <v>2</v>
      </c>
      <c r="C405" s="67">
        <f t="shared" si="224"/>
        <v>47515</v>
      </c>
      <c r="D405" s="36">
        <f t="shared" ref="D405" si="260">IF(WEEKDAY((DATE(A403,B403,1)))&gt;4,(7-(WEEKDAY((DATE(A403,B403,1)))-4))+(DATE(A403,B403,1)),4-WEEKDAY((DATE(A403,B403,1)))+(DATE(A403,B403,1)))+21</f>
        <v>47541</v>
      </c>
      <c r="E405" s="37">
        <f t="shared" si="254"/>
        <v>47541</v>
      </c>
      <c r="F405" s="14" t="str">
        <f t="shared" si="255"/>
        <v/>
      </c>
    </row>
    <row r="406" spans="1:6" ht="13.9" customHeight="1" x14ac:dyDescent="0.15">
      <c r="A406" s="10">
        <v>2030</v>
      </c>
      <c r="B406" s="10">
        <f t="shared" si="218"/>
        <v>3</v>
      </c>
      <c r="C406" s="67">
        <f t="shared" si="224"/>
        <v>47543</v>
      </c>
      <c r="D406" s="36">
        <f t="shared" ref="D406" si="261">IF(WEEKDAY((DATE(A406,B406,1)))&gt;4,(7-(WEEKDAY((DATE(A406,B406,1)))-4))+(DATE(A406,B406,1)),4-WEEKDAY((DATE(A406,B406,1)))+(DATE(A406,B406,1)))+7</f>
        <v>47555</v>
      </c>
      <c r="E406" s="37">
        <f t="shared" si="254"/>
        <v>47555</v>
      </c>
      <c r="F406" s="14" t="str">
        <f t="shared" si="255"/>
        <v/>
      </c>
    </row>
    <row r="407" spans="1:6" ht="13.9" customHeight="1" x14ac:dyDescent="0.15">
      <c r="A407" s="10">
        <v>2030</v>
      </c>
      <c r="B407" s="10">
        <f t="shared" si="218"/>
        <v>3</v>
      </c>
      <c r="C407" s="67">
        <f t="shared" si="224"/>
        <v>47543</v>
      </c>
      <c r="D407" s="38">
        <f t="shared" ref="D407" si="262">IF(WEEKDAY(DATE(A407,B407,1))&gt;3,(7-(WEEKDAY(DATE(A407,B407,1))-3))+DATE(A407,B407,1),3-WEEKDAY(DATE(A407,B407,1))+DATE(A407,B407,1))+14</f>
        <v>47561</v>
      </c>
      <c r="E407" s="37">
        <f t="shared" si="254"/>
        <v>47561</v>
      </c>
      <c r="F407" s="14" t="str">
        <f t="shared" si="255"/>
        <v/>
      </c>
    </row>
    <row r="408" spans="1:6" ht="13.9" customHeight="1" x14ac:dyDescent="0.15">
      <c r="A408" s="10">
        <v>2030</v>
      </c>
      <c r="B408" s="10">
        <f t="shared" si="218"/>
        <v>3</v>
      </c>
      <c r="C408" s="67">
        <f t="shared" si="224"/>
        <v>47543</v>
      </c>
      <c r="D408" s="36">
        <f t="shared" ref="D408" si="263">IF(WEEKDAY((DATE(A406,B406,1)))&gt;4,(7-(WEEKDAY((DATE(A406,B406,1)))-4))+(DATE(A406,B406,1)),4-WEEKDAY((DATE(A406,B406,1)))+(DATE(A406,B406,1)))+21</f>
        <v>47569</v>
      </c>
      <c r="E408" s="37">
        <f t="shared" si="254"/>
        <v>47569</v>
      </c>
      <c r="F408" s="14" t="str">
        <f t="shared" si="255"/>
        <v/>
      </c>
    </row>
    <row r="409" spans="1:6" ht="13.9" customHeight="1" x14ac:dyDescent="0.15">
      <c r="A409" s="10">
        <v>2030</v>
      </c>
      <c r="B409" s="10">
        <f t="shared" si="218"/>
        <v>4</v>
      </c>
      <c r="C409" s="67">
        <f t="shared" si="224"/>
        <v>47574</v>
      </c>
      <c r="D409" s="36">
        <f t="shared" ref="D409" si="264">IF(WEEKDAY((DATE(A409,B409,1)))&gt;4,(7-(WEEKDAY((DATE(A409,B409,1)))-4))+(DATE(A409,B409,1)),4-WEEKDAY((DATE(A409,B409,1)))+(DATE(A409,B409,1)))+7</f>
        <v>47583</v>
      </c>
      <c r="E409" s="37">
        <f t="shared" si="254"/>
        <v>47583</v>
      </c>
      <c r="F409" s="14" t="str">
        <f t="shared" si="255"/>
        <v/>
      </c>
    </row>
    <row r="410" spans="1:6" ht="13.9" customHeight="1" x14ac:dyDescent="0.15">
      <c r="A410" s="10">
        <v>2030</v>
      </c>
      <c r="B410" s="10">
        <f t="shared" si="218"/>
        <v>4</v>
      </c>
      <c r="C410" s="67">
        <f t="shared" ref="C410:C445" si="265">DATE(A410,B410,1)</f>
        <v>47574</v>
      </c>
      <c r="D410" s="38">
        <f t="shared" ref="D410" si="266">IF(WEEKDAY(DATE(A410,B410,1))&gt;3,(7-(WEEKDAY(DATE(A410,B410,1))-3))+DATE(A410,B410,1),3-WEEKDAY(DATE(A410,B410,1))+DATE(A410,B410,1))+14</f>
        <v>47589</v>
      </c>
      <c r="E410" s="37">
        <f t="shared" si="254"/>
        <v>47589</v>
      </c>
      <c r="F410" s="14" t="str">
        <f t="shared" si="255"/>
        <v/>
      </c>
    </row>
    <row r="411" spans="1:6" ht="13.9" customHeight="1" x14ac:dyDescent="0.15">
      <c r="A411" s="10">
        <v>2030</v>
      </c>
      <c r="B411" s="10">
        <f t="shared" si="218"/>
        <v>4</v>
      </c>
      <c r="C411" s="67">
        <f t="shared" si="265"/>
        <v>47574</v>
      </c>
      <c r="D411" s="36">
        <f t="shared" ref="D411" si="267">IF(WEEKDAY((DATE(A409,B409,1)))&gt;4,(7-(WEEKDAY((DATE(A409,B409,1)))-4))+(DATE(A409,B409,1)),4-WEEKDAY((DATE(A409,B409,1)))+(DATE(A409,B409,1)))+21</f>
        <v>47597</v>
      </c>
      <c r="E411" s="37">
        <f t="shared" si="254"/>
        <v>47597</v>
      </c>
      <c r="F411" s="14" t="str">
        <f t="shared" si="255"/>
        <v/>
      </c>
    </row>
    <row r="412" spans="1:6" ht="13.9" customHeight="1" x14ac:dyDescent="0.15">
      <c r="A412" s="10">
        <v>2030</v>
      </c>
      <c r="B412" s="10">
        <f t="shared" si="218"/>
        <v>5</v>
      </c>
      <c r="C412" s="67">
        <f t="shared" si="265"/>
        <v>47604</v>
      </c>
      <c r="D412" s="36">
        <f t="shared" ref="D412" si="268">IF(WEEKDAY((DATE(A412,B412,1)))&gt;4,(7-(WEEKDAY((DATE(A412,B412,1)))-4))+(DATE(A412,B412,1)),4-WEEKDAY((DATE(A412,B412,1)))+(DATE(A412,B412,1)))+7</f>
        <v>47611</v>
      </c>
      <c r="E412" s="37">
        <f t="shared" si="254"/>
        <v>47611</v>
      </c>
      <c r="F412" s="14" t="str">
        <f t="shared" si="255"/>
        <v/>
      </c>
    </row>
    <row r="413" spans="1:6" ht="13.9" customHeight="1" x14ac:dyDescent="0.15">
      <c r="A413" s="10">
        <v>2030</v>
      </c>
      <c r="B413" s="10">
        <f t="shared" si="218"/>
        <v>5</v>
      </c>
      <c r="C413" s="67">
        <f t="shared" si="265"/>
        <v>47604</v>
      </c>
      <c r="D413" s="38">
        <f t="shared" ref="D413" si="269">IF(WEEKDAY(DATE(A413,B413,1))&gt;3,(7-(WEEKDAY(DATE(A413,B413,1))-3))+DATE(A413,B413,1),3-WEEKDAY(DATE(A413,B413,1))+DATE(A413,B413,1))+14</f>
        <v>47624</v>
      </c>
      <c r="E413" s="37">
        <f t="shared" si="254"/>
        <v>47624</v>
      </c>
      <c r="F413" s="14" t="str">
        <f t="shared" si="255"/>
        <v/>
      </c>
    </row>
    <row r="414" spans="1:6" ht="13.9" customHeight="1" x14ac:dyDescent="0.15">
      <c r="A414" s="10">
        <v>2030</v>
      </c>
      <c r="B414" s="10">
        <f t="shared" si="218"/>
        <v>5</v>
      </c>
      <c r="C414" s="67">
        <f t="shared" si="265"/>
        <v>47604</v>
      </c>
      <c r="D414" s="36">
        <f t="shared" ref="D414" si="270">IF(WEEKDAY((DATE(A412,B412,1)))&gt;4,(7-(WEEKDAY((DATE(A412,B412,1)))-4))+(DATE(A412,B412,1)),4-WEEKDAY((DATE(A412,B412,1)))+(DATE(A412,B412,1)))+21</f>
        <v>47625</v>
      </c>
      <c r="E414" s="37">
        <f t="shared" si="254"/>
        <v>47625</v>
      </c>
      <c r="F414" s="14" t="str">
        <f t="shared" si="255"/>
        <v/>
      </c>
    </row>
    <row r="415" spans="1:6" ht="13.9" customHeight="1" x14ac:dyDescent="0.15">
      <c r="A415" s="10">
        <v>2030</v>
      </c>
      <c r="B415" s="10">
        <f t="shared" si="218"/>
        <v>6</v>
      </c>
      <c r="C415" s="67">
        <f t="shared" si="265"/>
        <v>47635</v>
      </c>
      <c r="D415" s="36">
        <f t="shared" ref="D415" si="271">IF(WEEKDAY((DATE(A415,B415,1)))&gt;4,(7-(WEEKDAY((DATE(A415,B415,1)))-4))+(DATE(A415,B415,1)),4-WEEKDAY((DATE(A415,B415,1)))+(DATE(A415,B415,1)))+7</f>
        <v>47646</v>
      </c>
      <c r="E415" s="37">
        <f t="shared" si="254"/>
        <v>47646</v>
      </c>
      <c r="F415" s="14" t="str">
        <f t="shared" si="255"/>
        <v/>
      </c>
    </row>
    <row r="416" spans="1:6" ht="13.9" customHeight="1" x14ac:dyDescent="0.15">
      <c r="A416" s="10">
        <v>2030</v>
      </c>
      <c r="B416" s="10">
        <f t="shared" si="218"/>
        <v>6</v>
      </c>
      <c r="C416" s="67">
        <f t="shared" si="265"/>
        <v>47635</v>
      </c>
      <c r="D416" s="38">
        <f t="shared" ref="D416" si="272">IF(WEEKDAY(DATE(A416,B416,1))&gt;3,(7-(WEEKDAY(DATE(A416,B416,1))-3))+DATE(A416,B416,1),3-WEEKDAY(DATE(A416,B416,1))+DATE(A416,B416,1))+14</f>
        <v>47652</v>
      </c>
      <c r="E416" s="37">
        <f t="shared" si="254"/>
        <v>47652</v>
      </c>
      <c r="F416" s="14" t="str">
        <f t="shared" si="255"/>
        <v/>
      </c>
    </row>
    <row r="417" spans="1:6" ht="13.9" customHeight="1" x14ac:dyDescent="0.15">
      <c r="A417" s="10">
        <v>2030</v>
      </c>
      <c r="B417" s="10">
        <f t="shared" si="218"/>
        <v>6</v>
      </c>
      <c r="C417" s="67">
        <f t="shared" si="265"/>
        <v>47635</v>
      </c>
      <c r="D417" s="36">
        <f t="shared" ref="D417" si="273">IF(WEEKDAY((DATE(A415,B415,1)))&gt;4,(7-(WEEKDAY((DATE(A415,B415,1)))-4))+(DATE(A415,B415,1)),4-WEEKDAY((DATE(A415,B415,1)))+(DATE(A415,B415,1)))+21</f>
        <v>47660</v>
      </c>
      <c r="E417" s="37">
        <f t="shared" si="254"/>
        <v>47660</v>
      </c>
      <c r="F417" s="14" t="str">
        <f t="shared" si="255"/>
        <v/>
      </c>
    </row>
    <row r="418" spans="1:6" ht="13.9" customHeight="1" x14ac:dyDescent="0.15">
      <c r="A418" s="10">
        <v>2030</v>
      </c>
      <c r="B418" s="10">
        <f t="shared" si="218"/>
        <v>7</v>
      </c>
      <c r="C418" s="67">
        <f t="shared" si="265"/>
        <v>47665</v>
      </c>
      <c r="D418" s="36">
        <f t="shared" ref="D418" si="274">IF(WEEKDAY((DATE(A418,B418,1)))&gt;4,(7-(WEEKDAY((DATE(A418,B418,1)))-4))+(DATE(A418,B418,1)),4-WEEKDAY((DATE(A418,B418,1)))+(DATE(A418,B418,1)))+7</f>
        <v>47674</v>
      </c>
      <c r="E418" s="37">
        <f t="shared" si="254"/>
        <v>47674</v>
      </c>
      <c r="F418" s="14" t="str">
        <f t="shared" si="255"/>
        <v/>
      </c>
    </row>
    <row r="419" spans="1:6" ht="13.9" customHeight="1" x14ac:dyDescent="0.15">
      <c r="A419" s="10">
        <v>2030</v>
      </c>
      <c r="B419" s="10">
        <f t="shared" si="218"/>
        <v>7</v>
      </c>
      <c r="C419" s="67">
        <f t="shared" si="265"/>
        <v>47665</v>
      </c>
      <c r="D419" s="38">
        <f t="shared" ref="D419" si="275">IF(WEEKDAY(DATE(A419,B419,1))&gt;3,(7-(WEEKDAY(DATE(A419,B419,1))-3))+DATE(A419,B419,1),3-WEEKDAY(DATE(A419,B419,1))+DATE(A419,B419,1))+14</f>
        <v>47680</v>
      </c>
      <c r="E419" s="37">
        <f t="shared" si="254"/>
        <v>47680</v>
      </c>
      <c r="F419" s="14" t="str">
        <f t="shared" si="255"/>
        <v/>
      </c>
    </row>
    <row r="420" spans="1:6" ht="13.9" customHeight="1" x14ac:dyDescent="0.15">
      <c r="A420" s="10">
        <v>2030</v>
      </c>
      <c r="B420" s="10">
        <f t="shared" si="218"/>
        <v>7</v>
      </c>
      <c r="C420" s="67">
        <f t="shared" si="265"/>
        <v>47665</v>
      </c>
      <c r="D420" s="36">
        <f t="shared" ref="D420" si="276">IF(WEEKDAY((DATE(A418,B418,1)))&gt;4,(7-(WEEKDAY((DATE(A418,B418,1)))-4))+(DATE(A418,B418,1)),4-WEEKDAY((DATE(A418,B418,1)))+(DATE(A418,B418,1)))+21</f>
        <v>47688</v>
      </c>
      <c r="E420" s="37">
        <f t="shared" si="254"/>
        <v>47688</v>
      </c>
      <c r="F420" s="14" t="str">
        <f t="shared" si="255"/>
        <v/>
      </c>
    </row>
    <row r="421" spans="1:6" ht="13.9" customHeight="1" x14ac:dyDescent="0.15">
      <c r="A421" s="10">
        <v>2030</v>
      </c>
      <c r="B421" s="10">
        <f t="shared" si="218"/>
        <v>8</v>
      </c>
      <c r="C421" s="67">
        <f t="shared" si="265"/>
        <v>47696</v>
      </c>
      <c r="D421" s="36">
        <f t="shared" ref="D421" si="277">IF(WEEKDAY((DATE(A421,B421,1)))&gt;4,(7-(WEEKDAY((DATE(A421,B421,1)))-4))+(DATE(A421,B421,1)),4-WEEKDAY((DATE(A421,B421,1)))+(DATE(A421,B421,1)))+7</f>
        <v>47709</v>
      </c>
      <c r="E421" s="37">
        <f t="shared" si="254"/>
        <v>47709</v>
      </c>
      <c r="F421" s="14" t="str">
        <f t="shared" si="255"/>
        <v/>
      </c>
    </row>
    <row r="422" spans="1:6" ht="13.9" customHeight="1" x14ac:dyDescent="0.15">
      <c r="A422" s="10">
        <v>2030</v>
      </c>
      <c r="B422" s="10">
        <f t="shared" si="218"/>
        <v>8</v>
      </c>
      <c r="C422" s="67">
        <f t="shared" si="265"/>
        <v>47696</v>
      </c>
      <c r="D422" s="38">
        <f t="shared" ref="D422" si="278">IF(WEEKDAY(DATE(A422,B422,1))&gt;3,(7-(WEEKDAY(DATE(A422,B422,1))-3))+DATE(A422,B422,1),3-WEEKDAY(DATE(A422,B422,1))+DATE(A422,B422,1))+14</f>
        <v>47715</v>
      </c>
      <c r="E422" s="37">
        <f t="shared" si="254"/>
        <v>47715</v>
      </c>
      <c r="F422" s="14" t="str">
        <f t="shared" si="255"/>
        <v/>
      </c>
    </row>
    <row r="423" spans="1:6" ht="13.9" customHeight="1" x14ac:dyDescent="0.15">
      <c r="A423" s="10">
        <v>2030</v>
      </c>
      <c r="B423" s="10">
        <f t="shared" si="218"/>
        <v>8</v>
      </c>
      <c r="C423" s="67">
        <f t="shared" si="265"/>
        <v>47696</v>
      </c>
      <c r="D423" s="36">
        <f t="shared" ref="D423" si="279">IF(WEEKDAY((DATE(A421,B421,1)))&gt;4,(7-(WEEKDAY((DATE(A421,B421,1)))-4))+(DATE(A421,B421,1)),4-WEEKDAY((DATE(A421,B421,1)))+(DATE(A421,B421,1)))+21</f>
        <v>47723</v>
      </c>
      <c r="E423" s="37">
        <f t="shared" si="254"/>
        <v>47723</v>
      </c>
      <c r="F423" s="14" t="str">
        <f t="shared" si="255"/>
        <v/>
      </c>
    </row>
    <row r="424" spans="1:6" ht="13.9" customHeight="1" x14ac:dyDescent="0.15">
      <c r="A424" s="10">
        <v>2030</v>
      </c>
      <c r="B424" s="10">
        <f t="shared" si="218"/>
        <v>9</v>
      </c>
      <c r="C424" s="67">
        <f t="shared" si="265"/>
        <v>47727</v>
      </c>
      <c r="D424" s="36">
        <f t="shared" ref="D424" si="280">IF(WEEKDAY((DATE(A424,B424,1)))&gt;4,(7-(WEEKDAY((DATE(A424,B424,1)))-4))+(DATE(A424,B424,1)),4-WEEKDAY((DATE(A424,B424,1)))+(DATE(A424,B424,1)))+7</f>
        <v>47737</v>
      </c>
      <c r="E424" s="37">
        <f t="shared" si="254"/>
        <v>47737</v>
      </c>
      <c r="F424" s="14" t="str">
        <f t="shared" si="255"/>
        <v/>
      </c>
    </row>
    <row r="425" spans="1:6" ht="13.9" customHeight="1" x14ac:dyDescent="0.15">
      <c r="A425" s="10">
        <v>2030</v>
      </c>
      <c r="B425" s="10">
        <f t="shared" si="218"/>
        <v>9</v>
      </c>
      <c r="C425" s="67">
        <f t="shared" si="265"/>
        <v>47727</v>
      </c>
      <c r="D425" s="38">
        <f t="shared" ref="D425" si="281">IF(WEEKDAY(DATE(A425,B425,1))&gt;3,(7-(WEEKDAY(DATE(A425,B425,1))-3))+DATE(A425,B425,1),3-WEEKDAY(DATE(A425,B425,1))+DATE(A425,B425,1))+14</f>
        <v>47743</v>
      </c>
      <c r="E425" s="37">
        <f t="shared" si="254"/>
        <v>47743</v>
      </c>
      <c r="F425" s="14" t="str">
        <f t="shared" si="255"/>
        <v/>
      </c>
    </row>
    <row r="426" spans="1:6" ht="13.9" customHeight="1" x14ac:dyDescent="0.15">
      <c r="A426" s="10">
        <v>2030</v>
      </c>
      <c r="B426" s="10">
        <f t="shared" si="218"/>
        <v>9</v>
      </c>
      <c r="C426" s="67">
        <f t="shared" si="265"/>
        <v>47727</v>
      </c>
      <c r="D426" s="36">
        <f t="shared" ref="D426" si="282">IF(WEEKDAY((DATE(A424,B424,1)))&gt;4,(7-(WEEKDAY((DATE(A424,B424,1)))-4))+(DATE(A424,B424,1)),4-WEEKDAY((DATE(A424,B424,1)))+(DATE(A424,B424,1)))+21</f>
        <v>47751</v>
      </c>
      <c r="E426" s="37">
        <f t="shared" si="254"/>
        <v>47751</v>
      </c>
      <c r="F426" s="14" t="str">
        <f t="shared" si="255"/>
        <v/>
      </c>
    </row>
    <row r="427" spans="1:6" ht="13.9" customHeight="1" x14ac:dyDescent="0.15">
      <c r="A427" s="10">
        <v>2030</v>
      </c>
      <c r="B427" s="10">
        <f t="shared" si="218"/>
        <v>10</v>
      </c>
      <c r="C427" s="67">
        <f t="shared" si="265"/>
        <v>47757</v>
      </c>
      <c r="D427" s="36">
        <f t="shared" ref="D427" si="283">IF(WEEKDAY((DATE(A427,B427,1)))&gt;4,(7-(WEEKDAY((DATE(A427,B427,1)))-4))+(DATE(A427,B427,1)),4-WEEKDAY((DATE(A427,B427,1)))+(DATE(A427,B427,1)))+7</f>
        <v>47765</v>
      </c>
      <c r="E427" s="37">
        <f t="shared" si="254"/>
        <v>47765</v>
      </c>
      <c r="F427" s="14" t="str">
        <f t="shared" si="255"/>
        <v/>
      </c>
    </row>
    <row r="428" spans="1:6" ht="13.9" customHeight="1" x14ac:dyDescent="0.15">
      <c r="A428" s="10">
        <v>2030</v>
      </c>
      <c r="B428" s="10">
        <f t="shared" si="218"/>
        <v>10</v>
      </c>
      <c r="C428" s="67">
        <f t="shared" si="265"/>
        <v>47757</v>
      </c>
      <c r="D428" s="38">
        <f t="shared" ref="D428" si="284">IF(WEEKDAY(DATE(A428,B428,1))&gt;3,(7-(WEEKDAY(DATE(A428,B428,1))-3))+DATE(A428,B428,1),3-WEEKDAY(DATE(A428,B428,1))+DATE(A428,B428,1))+14</f>
        <v>47771</v>
      </c>
      <c r="E428" s="37">
        <f t="shared" si="254"/>
        <v>47771</v>
      </c>
      <c r="F428" s="14" t="str">
        <f t="shared" si="255"/>
        <v/>
      </c>
    </row>
    <row r="429" spans="1:6" ht="13.9" customHeight="1" x14ac:dyDescent="0.15">
      <c r="A429" s="10">
        <v>2030</v>
      </c>
      <c r="B429" s="10">
        <f t="shared" si="218"/>
        <v>10</v>
      </c>
      <c r="C429" s="67">
        <f t="shared" si="265"/>
        <v>47757</v>
      </c>
      <c r="D429" s="36">
        <f t="shared" ref="D429" si="285">IF(WEEKDAY((DATE(A427,B427,1)))&gt;4,(7-(WEEKDAY((DATE(A427,B427,1)))-4))+(DATE(A427,B427,1)),4-WEEKDAY((DATE(A427,B427,1)))+(DATE(A427,B427,1)))+21</f>
        <v>47779</v>
      </c>
      <c r="E429" s="37">
        <f t="shared" si="254"/>
        <v>47779</v>
      </c>
      <c r="F429" s="14" t="str">
        <f t="shared" si="255"/>
        <v/>
      </c>
    </row>
    <row r="430" spans="1:6" ht="13.9" customHeight="1" x14ac:dyDescent="0.15">
      <c r="A430" s="10">
        <v>2030</v>
      </c>
      <c r="B430" s="10">
        <f t="shared" si="218"/>
        <v>11</v>
      </c>
      <c r="C430" s="67">
        <f t="shared" si="265"/>
        <v>47788</v>
      </c>
      <c r="D430" s="36">
        <f t="shared" ref="D430" si="286">IF(WEEKDAY((DATE(A430,B430,1)))&gt;4,(7-(WEEKDAY((DATE(A430,B430,1)))-4))+(DATE(A430,B430,1)),4-WEEKDAY((DATE(A430,B430,1)))+(DATE(A430,B430,1)))+7</f>
        <v>47800</v>
      </c>
      <c r="E430" s="37">
        <f t="shared" si="254"/>
        <v>47800</v>
      </c>
      <c r="F430" s="14" t="str">
        <f t="shared" si="255"/>
        <v/>
      </c>
    </row>
    <row r="431" spans="1:6" ht="13.9" customHeight="1" x14ac:dyDescent="0.15">
      <c r="A431" s="10">
        <v>2030</v>
      </c>
      <c r="B431" s="10">
        <f t="shared" si="218"/>
        <v>11</v>
      </c>
      <c r="C431" s="67">
        <f t="shared" si="265"/>
        <v>47788</v>
      </c>
      <c r="D431" s="38">
        <f t="shared" ref="D431" si="287">IF(WEEKDAY(DATE(A431,B431,1))&gt;3,(7-(WEEKDAY(DATE(A431,B431,1))-3))+DATE(A431,B431,1),3-WEEKDAY(DATE(A431,B431,1))+DATE(A431,B431,1))+14</f>
        <v>47806</v>
      </c>
      <c r="E431" s="37">
        <f t="shared" si="254"/>
        <v>47806</v>
      </c>
      <c r="F431" s="14" t="str">
        <f t="shared" si="255"/>
        <v/>
      </c>
    </row>
    <row r="432" spans="1:6" ht="13.9" customHeight="1" x14ac:dyDescent="0.15">
      <c r="A432" s="10">
        <v>2030</v>
      </c>
      <c r="B432" s="10">
        <f t="shared" si="218"/>
        <v>11</v>
      </c>
      <c r="C432" s="67">
        <f t="shared" si="265"/>
        <v>47788</v>
      </c>
      <c r="D432" s="36">
        <f t="shared" ref="D432" si="288">IF(WEEKDAY((DATE(A430,B430,1)))&gt;4,(7-(WEEKDAY((DATE(A430,B430,1)))-4))+(DATE(A430,B430,1)),4-WEEKDAY((DATE(A430,B430,1)))+(DATE(A430,B430,1)))+21</f>
        <v>47814</v>
      </c>
      <c r="E432" s="37">
        <f t="shared" si="254"/>
        <v>47814</v>
      </c>
      <c r="F432" s="14" t="str">
        <f t="shared" si="255"/>
        <v/>
      </c>
    </row>
    <row r="433" spans="1:6" ht="13.9" customHeight="1" x14ac:dyDescent="0.15">
      <c r="A433" s="10">
        <v>2030</v>
      </c>
      <c r="B433" s="10">
        <f t="shared" ref="B433:B496" si="289">IF(B430+1&gt;12,B430+1-12,B430+1)</f>
        <v>12</v>
      </c>
      <c r="C433" s="67">
        <f t="shared" si="265"/>
        <v>47818</v>
      </c>
      <c r="D433" s="36">
        <f t="shared" ref="D433" si="290">IF(WEEKDAY((DATE(A433,B433,1)))&gt;4,(7-(WEEKDAY((DATE(A433,B433,1)))-4))+(DATE(A433,B433,1)),4-WEEKDAY((DATE(A433,B433,1)))+(DATE(A433,B433,1)))+7</f>
        <v>47828</v>
      </c>
      <c r="E433" s="37">
        <f t="shared" si="254"/>
        <v>47828</v>
      </c>
      <c r="F433" s="14" t="str">
        <f t="shared" si="255"/>
        <v/>
      </c>
    </row>
    <row r="434" spans="1:6" ht="13.9" customHeight="1" x14ac:dyDescent="0.15">
      <c r="A434" s="10">
        <v>2030</v>
      </c>
      <c r="B434" s="10">
        <f t="shared" si="289"/>
        <v>12</v>
      </c>
      <c r="C434" s="67">
        <f t="shared" si="265"/>
        <v>47818</v>
      </c>
      <c r="D434" s="38">
        <f t="shared" ref="D434" si="291">IF(WEEKDAY(DATE(A434,B434,1))&gt;3,(7-(WEEKDAY(DATE(A434,B434,1))-3))+DATE(A434,B434,1),3-WEEKDAY(DATE(A434,B434,1))+DATE(A434,B434,1))+14</f>
        <v>47834</v>
      </c>
      <c r="E434" s="37">
        <f t="shared" si="254"/>
        <v>47834</v>
      </c>
      <c r="F434" s="14" t="str">
        <f t="shared" si="255"/>
        <v/>
      </c>
    </row>
    <row r="435" spans="1:6" ht="13.9" customHeight="1" x14ac:dyDescent="0.15">
      <c r="A435" s="10">
        <v>2030</v>
      </c>
      <c r="B435" s="10">
        <f t="shared" si="289"/>
        <v>12</v>
      </c>
      <c r="C435" s="67">
        <f t="shared" si="265"/>
        <v>47818</v>
      </c>
      <c r="D435" s="36">
        <f t="shared" ref="D435" si="292">IF(WEEKDAY((DATE(A433,B433,1)))&gt;4,(7-(WEEKDAY((DATE(A433,B433,1)))-4))+(DATE(A433,B433,1)),4-WEEKDAY((DATE(A433,B433,1)))+(DATE(A433,B433,1)))+21</f>
        <v>47842</v>
      </c>
      <c r="E435" s="37">
        <f t="shared" si="254"/>
        <v>47842</v>
      </c>
      <c r="F435" s="14" t="str">
        <f t="shared" si="255"/>
        <v/>
      </c>
    </row>
    <row r="436" spans="1:6" ht="13.9" customHeight="1" x14ac:dyDescent="0.15">
      <c r="A436" s="10">
        <v>2031</v>
      </c>
      <c r="B436" s="10">
        <f t="shared" si="289"/>
        <v>1</v>
      </c>
      <c r="C436" s="67">
        <f t="shared" si="265"/>
        <v>47849</v>
      </c>
      <c r="D436" s="36">
        <f t="shared" ref="D436" si="293">IF(WEEKDAY((DATE(A436,B436,1)))&gt;4,(7-(WEEKDAY((DATE(A436,B436,1)))-4))+(DATE(A436,B436,1)),4-WEEKDAY((DATE(A436,B436,1)))+(DATE(A436,B436,1)))+7</f>
        <v>47856</v>
      </c>
      <c r="E436" s="37">
        <f t="shared" ref="E436:E468" si="294">D436</f>
        <v>47856</v>
      </c>
      <c r="F436" s="14" t="str">
        <f t="shared" ref="F436:F468" si="295">IFERROR(INDEX($H$1:$AN$1,1,MATCH(1,H436:AN436)),"")</f>
        <v/>
      </c>
    </row>
    <row r="437" spans="1:6" ht="13.9" customHeight="1" x14ac:dyDescent="0.15">
      <c r="A437" s="10">
        <v>2031</v>
      </c>
      <c r="B437" s="10">
        <f t="shared" si="289"/>
        <v>1</v>
      </c>
      <c r="C437" s="67">
        <f t="shared" si="265"/>
        <v>47849</v>
      </c>
      <c r="D437" s="38">
        <f t="shared" ref="D437" si="296">IF(WEEKDAY(DATE(A437,B437,1))&gt;3,(7-(WEEKDAY(DATE(A437,B437,1))-3))+DATE(A437,B437,1),3-WEEKDAY(DATE(A437,B437,1))+DATE(A437,B437,1))+14</f>
        <v>47869</v>
      </c>
      <c r="E437" s="37">
        <f t="shared" si="294"/>
        <v>47869</v>
      </c>
      <c r="F437" s="14" t="str">
        <f t="shared" si="295"/>
        <v/>
      </c>
    </row>
    <row r="438" spans="1:6" ht="13.9" customHeight="1" x14ac:dyDescent="0.15">
      <c r="A438" s="10">
        <v>2031</v>
      </c>
      <c r="B438" s="10">
        <f t="shared" si="289"/>
        <v>1</v>
      </c>
      <c r="C438" s="67">
        <f t="shared" si="265"/>
        <v>47849</v>
      </c>
      <c r="D438" s="36">
        <f t="shared" ref="D438" si="297">IF(WEEKDAY((DATE(A436,B436,1)))&gt;4,(7-(WEEKDAY((DATE(A436,B436,1)))-4))+(DATE(A436,B436,1)),4-WEEKDAY((DATE(A436,B436,1)))+(DATE(A436,B436,1)))+21</f>
        <v>47870</v>
      </c>
      <c r="E438" s="37">
        <f t="shared" si="294"/>
        <v>47870</v>
      </c>
      <c r="F438" s="14" t="str">
        <f t="shared" si="295"/>
        <v/>
      </c>
    </row>
    <row r="439" spans="1:6" ht="13.9" customHeight="1" x14ac:dyDescent="0.15">
      <c r="A439" s="10">
        <v>2031</v>
      </c>
      <c r="B439" s="10">
        <f t="shared" si="289"/>
        <v>2</v>
      </c>
      <c r="C439" s="67">
        <f t="shared" si="265"/>
        <v>47880</v>
      </c>
      <c r="D439" s="36">
        <f t="shared" ref="D439" si="298">IF(WEEKDAY((DATE(A439,B439,1)))&gt;4,(7-(WEEKDAY((DATE(A439,B439,1)))-4))+(DATE(A439,B439,1)),4-WEEKDAY((DATE(A439,B439,1)))+(DATE(A439,B439,1)))+7</f>
        <v>47891</v>
      </c>
      <c r="E439" s="37">
        <f t="shared" si="294"/>
        <v>47891</v>
      </c>
      <c r="F439" s="14" t="str">
        <f t="shared" si="295"/>
        <v/>
      </c>
    </row>
    <row r="440" spans="1:6" ht="13.9" customHeight="1" x14ac:dyDescent="0.15">
      <c r="A440" s="10">
        <v>2031</v>
      </c>
      <c r="B440" s="10">
        <f t="shared" si="289"/>
        <v>2</v>
      </c>
      <c r="C440" s="67">
        <f t="shared" si="265"/>
        <v>47880</v>
      </c>
      <c r="D440" s="38">
        <f t="shared" ref="D440" si="299">IF(WEEKDAY(DATE(A440,B440,1))&gt;3,(7-(WEEKDAY(DATE(A440,B440,1))-3))+DATE(A440,B440,1),3-WEEKDAY(DATE(A440,B440,1))+DATE(A440,B440,1))+14</f>
        <v>47897</v>
      </c>
      <c r="E440" s="37">
        <f t="shared" si="294"/>
        <v>47897</v>
      </c>
      <c r="F440" s="14" t="str">
        <f t="shared" si="295"/>
        <v/>
      </c>
    </row>
    <row r="441" spans="1:6" ht="13.9" customHeight="1" x14ac:dyDescent="0.15">
      <c r="A441" s="10">
        <v>2031</v>
      </c>
      <c r="B441" s="10">
        <f t="shared" si="289"/>
        <v>2</v>
      </c>
      <c r="C441" s="67">
        <f t="shared" si="265"/>
        <v>47880</v>
      </c>
      <c r="D441" s="36">
        <f t="shared" ref="D441" si="300">IF(WEEKDAY((DATE(A439,B439,1)))&gt;4,(7-(WEEKDAY((DATE(A439,B439,1)))-4))+(DATE(A439,B439,1)),4-WEEKDAY((DATE(A439,B439,1)))+(DATE(A439,B439,1)))+21</f>
        <v>47905</v>
      </c>
      <c r="E441" s="37">
        <f t="shared" si="294"/>
        <v>47905</v>
      </c>
      <c r="F441" s="14" t="str">
        <f t="shared" si="295"/>
        <v/>
      </c>
    </row>
    <row r="442" spans="1:6" ht="13.9" customHeight="1" x14ac:dyDescent="0.15">
      <c r="A442" s="10">
        <v>2031</v>
      </c>
      <c r="B442" s="10">
        <f t="shared" si="289"/>
        <v>3</v>
      </c>
      <c r="C442" s="67">
        <f t="shared" si="265"/>
        <v>47908</v>
      </c>
      <c r="D442" s="36">
        <f t="shared" ref="D442" si="301">IF(WEEKDAY((DATE(A442,B442,1)))&gt;4,(7-(WEEKDAY((DATE(A442,B442,1)))-4))+(DATE(A442,B442,1)),4-WEEKDAY((DATE(A442,B442,1)))+(DATE(A442,B442,1)))+7</f>
        <v>47919</v>
      </c>
      <c r="E442" s="37">
        <f t="shared" si="294"/>
        <v>47919</v>
      </c>
      <c r="F442" s="14" t="str">
        <f t="shared" si="295"/>
        <v/>
      </c>
    </row>
    <row r="443" spans="1:6" ht="13.9" customHeight="1" x14ac:dyDescent="0.15">
      <c r="A443" s="10">
        <v>2031</v>
      </c>
      <c r="B443" s="10">
        <f t="shared" si="289"/>
        <v>3</v>
      </c>
      <c r="C443" s="67">
        <f t="shared" si="265"/>
        <v>47908</v>
      </c>
      <c r="D443" s="38">
        <f t="shared" ref="D443" si="302">IF(WEEKDAY(DATE(A443,B443,1))&gt;3,(7-(WEEKDAY(DATE(A443,B443,1))-3))+DATE(A443,B443,1),3-WEEKDAY(DATE(A443,B443,1))+DATE(A443,B443,1))+14</f>
        <v>47925</v>
      </c>
      <c r="E443" s="37">
        <f t="shared" si="294"/>
        <v>47925</v>
      </c>
      <c r="F443" s="14" t="str">
        <f t="shared" si="295"/>
        <v/>
      </c>
    </row>
    <row r="444" spans="1:6" ht="13.9" customHeight="1" x14ac:dyDescent="0.15">
      <c r="A444" s="10">
        <v>2031</v>
      </c>
      <c r="B444" s="10">
        <f t="shared" si="289"/>
        <v>3</v>
      </c>
      <c r="C444" s="67">
        <f t="shared" si="265"/>
        <v>47908</v>
      </c>
      <c r="D444" s="36">
        <f t="shared" ref="D444" si="303">IF(WEEKDAY((DATE(A442,B442,1)))&gt;4,(7-(WEEKDAY((DATE(A442,B442,1)))-4))+(DATE(A442,B442,1)),4-WEEKDAY((DATE(A442,B442,1)))+(DATE(A442,B442,1)))+21</f>
        <v>47933</v>
      </c>
      <c r="E444" s="37">
        <f t="shared" si="294"/>
        <v>47933</v>
      </c>
      <c r="F444" s="14" t="str">
        <f t="shared" si="295"/>
        <v/>
      </c>
    </row>
    <row r="445" spans="1:6" ht="13.9" customHeight="1" x14ac:dyDescent="0.15">
      <c r="A445" s="10">
        <v>2031</v>
      </c>
      <c r="B445" s="10">
        <f t="shared" si="289"/>
        <v>4</v>
      </c>
      <c r="C445" s="67">
        <f t="shared" si="265"/>
        <v>47939</v>
      </c>
      <c r="D445" s="36">
        <f t="shared" ref="D445" si="304">IF(WEEKDAY((DATE(A445,B445,1)))&gt;4,(7-(WEEKDAY((DATE(A445,B445,1)))-4))+(DATE(A445,B445,1)),4-WEEKDAY((DATE(A445,B445,1)))+(DATE(A445,B445,1)))+7</f>
        <v>47947</v>
      </c>
      <c r="E445" s="37">
        <f t="shared" si="294"/>
        <v>47947</v>
      </c>
      <c r="F445" s="14" t="str">
        <f t="shared" si="295"/>
        <v/>
      </c>
    </row>
    <row r="446" spans="1:6" ht="13.9" customHeight="1" x14ac:dyDescent="0.15">
      <c r="A446" s="10">
        <v>2031</v>
      </c>
      <c r="B446" s="10">
        <f t="shared" si="289"/>
        <v>4</v>
      </c>
      <c r="C446" s="67">
        <f t="shared" ref="C446:C509" si="305">DATE(A446,B446,1)</f>
        <v>47939</v>
      </c>
      <c r="D446" s="38">
        <f t="shared" ref="D446" si="306">IF(WEEKDAY(DATE(A446,B446,1))&gt;3,(7-(WEEKDAY(DATE(A446,B446,1))-3))+DATE(A446,B446,1),3-WEEKDAY(DATE(A446,B446,1))+DATE(A446,B446,1))+14</f>
        <v>47953</v>
      </c>
      <c r="E446" s="37">
        <f t="shared" si="294"/>
        <v>47953</v>
      </c>
      <c r="F446" s="14" t="str">
        <f t="shared" si="295"/>
        <v/>
      </c>
    </row>
    <row r="447" spans="1:6" ht="13.9" customHeight="1" x14ac:dyDescent="0.15">
      <c r="A447" s="10">
        <v>2031</v>
      </c>
      <c r="B447" s="10">
        <f t="shared" si="289"/>
        <v>4</v>
      </c>
      <c r="C447" s="67">
        <f t="shared" si="305"/>
        <v>47939</v>
      </c>
      <c r="D447" s="36">
        <f t="shared" ref="D447" si="307">IF(WEEKDAY((DATE(A445,B445,1)))&gt;4,(7-(WEEKDAY((DATE(A445,B445,1)))-4))+(DATE(A445,B445,1)),4-WEEKDAY((DATE(A445,B445,1)))+(DATE(A445,B445,1)))+21</f>
        <v>47961</v>
      </c>
      <c r="E447" s="37">
        <f t="shared" si="294"/>
        <v>47961</v>
      </c>
      <c r="F447" s="14" t="str">
        <f t="shared" si="295"/>
        <v/>
      </c>
    </row>
    <row r="448" spans="1:6" ht="13.9" customHeight="1" x14ac:dyDescent="0.15">
      <c r="A448" s="10">
        <v>2031</v>
      </c>
      <c r="B448" s="10">
        <f t="shared" si="289"/>
        <v>5</v>
      </c>
      <c r="C448" s="67">
        <f t="shared" si="305"/>
        <v>47969</v>
      </c>
      <c r="D448" s="36">
        <f t="shared" ref="D448" si="308">IF(WEEKDAY((DATE(A448,B448,1)))&gt;4,(7-(WEEKDAY((DATE(A448,B448,1)))-4))+(DATE(A448,B448,1)),4-WEEKDAY((DATE(A448,B448,1)))+(DATE(A448,B448,1)))+7</f>
        <v>47982</v>
      </c>
      <c r="E448" s="37">
        <f t="shared" si="294"/>
        <v>47982</v>
      </c>
      <c r="F448" s="14" t="str">
        <f t="shared" si="295"/>
        <v/>
      </c>
    </row>
    <row r="449" spans="1:6" ht="13.9" customHeight="1" x14ac:dyDescent="0.15">
      <c r="A449" s="10">
        <v>2031</v>
      </c>
      <c r="B449" s="10">
        <f t="shared" si="289"/>
        <v>5</v>
      </c>
      <c r="C449" s="67">
        <f t="shared" si="305"/>
        <v>47969</v>
      </c>
      <c r="D449" s="38">
        <f t="shared" ref="D449" si="309">IF(WEEKDAY(DATE(A449,B449,1))&gt;3,(7-(WEEKDAY(DATE(A449,B449,1))-3))+DATE(A449,B449,1),3-WEEKDAY(DATE(A449,B449,1))+DATE(A449,B449,1))+14</f>
        <v>47988</v>
      </c>
      <c r="E449" s="37">
        <f t="shared" si="294"/>
        <v>47988</v>
      </c>
      <c r="F449" s="14" t="str">
        <f t="shared" si="295"/>
        <v/>
      </c>
    </row>
    <row r="450" spans="1:6" ht="13.9" customHeight="1" x14ac:dyDescent="0.15">
      <c r="A450" s="10">
        <v>2031</v>
      </c>
      <c r="B450" s="10">
        <f t="shared" si="289"/>
        <v>5</v>
      </c>
      <c r="C450" s="67">
        <f t="shared" si="305"/>
        <v>47969</v>
      </c>
      <c r="D450" s="36">
        <f t="shared" ref="D450" si="310">IF(WEEKDAY((DATE(A448,B448,1)))&gt;4,(7-(WEEKDAY((DATE(A448,B448,1)))-4))+(DATE(A448,B448,1)),4-WEEKDAY((DATE(A448,B448,1)))+(DATE(A448,B448,1)))+21</f>
        <v>47996</v>
      </c>
      <c r="E450" s="37">
        <f t="shared" si="294"/>
        <v>47996</v>
      </c>
      <c r="F450" s="14" t="str">
        <f t="shared" si="295"/>
        <v/>
      </c>
    </row>
    <row r="451" spans="1:6" ht="13.9" customHeight="1" x14ac:dyDescent="0.15">
      <c r="A451" s="10">
        <v>2031</v>
      </c>
      <c r="B451" s="10">
        <f t="shared" si="289"/>
        <v>6</v>
      </c>
      <c r="C451" s="67">
        <f t="shared" si="305"/>
        <v>48000</v>
      </c>
      <c r="D451" s="36">
        <f t="shared" ref="D451" si="311">IF(WEEKDAY((DATE(A451,B451,1)))&gt;4,(7-(WEEKDAY((DATE(A451,B451,1)))-4))+(DATE(A451,B451,1)),4-WEEKDAY((DATE(A451,B451,1)))+(DATE(A451,B451,1)))+7</f>
        <v>48010</v>
      </c>
      <c r="E451" s="37">
        <f t="shared" si="294"/>
        <v>48010</v>
      </c>
      <c r="F451" s="14" t="str">
        <f t="shared" si="295"/>
        <v/>
      </c>
    </row>
    <row r="452" spans="1:6" ht="13.9" customHeight="1" x14ac:dyDescent="0.15">
      <c r="A452" s="10">
        <v>2031</v>
      </c>
      <c r="B452" s="10">
        <f t="shared" si="289"/>
        <v>6</v>
      </c>
      <c r="C452" s="67">
        <f t="shared" si="305"/>
        <v>48000</v>
      </c>
      <c r="D452" s="38">
        <f t="shared" ref="D452" si="312">IF(WEEKDAY(DATE(A452,B452,1))&gt;3,(7-(WEEKDAY(DATE(A452,B452,1))-3))+DATE(A452,B452,1),3-WEEKDAY(DATE(A452,B452,1))+DATE(A452,B452,1))+14</f>
        <v>48016</v>
      </c>
      <c r="E452" s="37">
        <f t="shared" si="294"/>
        <v>48016</v>
      </c>
      <c r="F452" s="14" t="str">
        <f t="shared" si="295"/>
        <v/>
      </c>
    </row>
    <row r="453" spans="1:6" ht="13.9" customHeight="1" x14ac:dyDescent="0.15">
      <c r="A453" s="10">
        <v>2031</v>
      </c>
      <c r="B453" s="10">
        <f t="shared" si="289"/>
        <v>6</v>
      </c>
      <c r="C453" s="67">
        <f t="shared" si="305"/>
        <v>48000</v>
      </c>
      <c r="D453" s="36">
        <f t="shared" ref="D453" si="313">IF(WEEKDAY((DATE(A451,B451,1)))&gt;4,(7-(WEEKDAY((DATE(A451,B451,1)))-4))+(DATE(A451,B451,1)),4-WEEKDAY((DATE(A451,B451,1)))+(DATE(A451,B451,1)))+21</f>
        <v>48024</v>
      </c>
      <c r="E453" s="37">
        <f t="shared" si="294"/>
        <v>48024</v>
      </c>
      <c r="F453" s="14" t="str">
        <f t="shared" si="295"/>
        <v/>
      </c>
    </row>
    <row r="454" spans="1:6" ht="13.9" customHeight="1" x14ac:dyDescent="0.15">
      <c r="A454" s="10">
        <v>2031</v>
      </c>
      <c r="B454" s="10">
        <f t="shared" si="289"/>
        <v>7</v>
      </c>
      <c r="C454" s="67">
        <f t="shared" si="305"/>
        <v>48030</v>
      </c>
      <c r="D454" s="36">
        <f t="shared" ref="D454" si="314">IF(WEEKDAY((DATE(A454,B454,1)))&gt;4,(7-(WEEKDAY((DATE(A454,B454,1)))-4))+(DATE(A454,B454,1)),4-WEEKDAY((DATE(A454,B454,1)))+(DATE(A454,B454,1)))+7</f>
        <v>48038</v>
      </c>
      <c r="E454" s="37">
        <f t="shared" si="294"/>
        <v>48038</v>
      </c>
      <c r="F454" s="14" t="str">
        <f t="shared" si="295"/>
        <v/>
      </c>
    </row>
    <row r="455" spans="1:6" ht="13.9" customHeight="1" x14ac:dyDescent="0.15">
      <c r="A455" s="10">
        <v>2031</v>
      </c>
      <c r="B455" s="10">
        <f t="shared" si="289"/>
        <v>7</v>
      </c>
      <c r="C455" s="67">
        <f t="shared" si="305"/>
        <v>48030</v>
      </c>
      <c r="D455" s="38">
        <f t="shared" ref="D455" si="315">IF(WEEKDAY(DATE(A455,B455,1))&gt;3,(7-(WEEKDAY(DATE(A455,B455,1))-3))+DATE(A455,B455,1),3-WEEKDAY(DATE(A455,B455,1))+DATE(A455,B455,1))+14</f>
        <v>48044</v>
      </c>
      <c r="E455" s="37">
        <f t="shared" si="294"/>
        <v>48044</v>
      </c>
      <c r="F455" s="14" t="str">
        <f t="shared" si="295"/>
        <v/>
      </c>
    </row>
    <row r="456" spans="1:6" ht="13.9" customHeight="1" x14ac:dyDescent="0.15">
      <c r="A456" s="10">
        <v>2031</v>
      </c>
      <c r="B456" s="10">
        <f t="shared" si="289"/>
        <v>7</v>
      </c>
      <c r="C456" s="67">
        <f t="shared" si="305"/>
        <v>48030</v>
      </c>
      <c r="D456" s="36">
        <f t="shared" ref="D456" si="316">IF(WEEKDAY((DATE(A454,B454,1)))&gt;4,(7-(WEEKDAY((DATE(A454,B454,1)))-4))+(DATE(A454,B454,1)),4-WEEKDAY((DATE(A454,B454,1)))+(DATE(A454,B454,1)))+21</f>
        <v>48052</v>
      </c>
      <c r="E456" s="37">
        <f t="shared" si="294"/>
        <v>48052</v>
      </c>
      <c r="F456" s="14" t="str">
        <f t="shared" si="295"/>
        <v/>
      </c>
    </row>
    <row r="457" spans="1:6" ht="13.9" customHeight="1" x14ac:dyDescent="0.15">
      <c r="A457" s="10">
        <v>2031</v>
      </c>
      <c r="B457" s="10">
        <f t="shared" si="289"/>
        <v>8</v>
      </c>
      <c r="C457" s="67">
        <f t="shared" si="305"/>
        <v>48061</v>
      </c>
      <c r="D457" s="36">
        <f t="shared" ref="D457" si="317">IF(WEEKDAY((DATE(A457,B457,1)))&gt;4,(7-(WEEKDAY((DATE(A457,B457,1)))-4))+(DATE(A457,B457,1)),4-WEEKDAY((DATE(A457,B457,1)))+(DATE(A457,B457,1)))+7</f>
        <v>48073</v>
      </c>
      <c r="E457" s="37">
        <f t="shared" si="294"/>
        <v>48073</v>
      </c>
      <c r="F457" s="14" t="str">
        <f t="shared" si="295"/>
        <v/>
      </c>
    </row>
    <row r="458" spans="1:6" ht="13.9" customHeight="1" x14ac:dyDescent="0.15">
      <c r="A458" s="10">
        <v>2031</v>
      </c>
      <c r="B458" s="10">
        <f t="shared" si="289"/>
        <v>8</v>
      </c>
      <c r="C458" s="67">
        <f t="shared" si="305"/>
        <v>48061</v>
      </c>
      <c r="D458" s="38">
        <f t="shared" ref="D458" si="318">IF(WEEKDAY(DATE(A458,B458,1))&gt;3,(7-(WEEKDAY(DATE(A458,B458,1))-3))+DATE(A458,B458,1),3-WEEKDAY(DATE(A458,B458,1))+DATE(A458,B458,1))+14</f>
        <v>48079</v>
      </c>
      <c r="E458" s="37">
        <f t="shared" si="294"/>
        <v>48079</v>
      </c>
      <c r="F458" s="14" t="str">
        <f t="shared" si="295"/>
        <v/>
      </c>
    </row>
    <row r="459" spans="1:6" ht="13.9" customHeight="1" x14ac:dyDescent="0.15">
      <c r="A459" s="10">
        <v>2031</v>
      </c>
      <c r="B459" s="10">
        <f t="shared" si="289"/>
        <v>8</v>
      </c>
      <c r="C459" s="67">
        <f t="shared" si="305"/>
        <v>48061</v>
      </c>
      <c r="D459" s="36">
        <f t="shared" ref="D459" si="319">IF(WEEKDAY((DATE(A457,B457,1)))&gt;4,(7-(WEEKDAY((DATE(A457,B457,1)))-4))+(DATE(A457,B457,1)),4-WEEKDAY((DATE(A457,B457,1)))+(DATE(A457,B457,1)))+21</f>
        <v>48087</v>
      </c>
      <c r="E459" s="37">
        <f t="shared" si="294"/>
        <v>48087</v>
      </c>
      <c r="F459" s="14" t="str">
        <f t="shared" si="295"/>
        <v/>
      </c>
    </row>
    <row r="460" spans="1:6" ht="13.9" customHeight="1" x14ac:dyDescent="0.15">
      <c r="A460" s="10">
        <v>2031</v>
      </c>
      <c r="B460" s="10">
        <f t="shared" si="289"/>
        <v>9</v>
      </c>
      <c r="C460" s="67">
        <f t="shared" si="305"/>
        <v>48092</v>
      </c>
      <c r="D460" s="36">
        <f t="shared" ref="D460" si="320">IF(WEEKDAY((DATE(A460,B460,1)))&gt;4,(7-(WEEKDAY((DATE(A460,B460,1)))-4))+(DATE(A460,B460,1)),4-WEEKDAY((DATE(A460,B460,1)))+(DATE(A460,B460,1)))+7</f>
        <v>48101</v>
      </c>
      <c r="E460" s="37">
        <f t="shared" si="294"/>
        <v>48101</v>
      </c>
      <c r="F460" s="14" t="str">
        <f t="shared" si="295"/>
        <v/>
      </c>
    </row>
    <row r="461" spans="1:6" ht="13.9" customHeight="1" x14ac:dyDescent="0.15">
      <c r="A461" s="10">
        <v>2031</v>
      </c>
      <c r="B461" s="10">
        <f t="shared" si="289"/>
        <v>9</v>
      </c>
      <c r="C461" s="67">
        <f t="shared" si="305"/>
        <v>48092</v>
      </c>
      <c r="D461" s="38">
        <f t="shared" ref="D461" si="321">IF(WEEKDAY(DATE(A461,B461,1))&gt;3,(7-(WEEKDAY(DATE(A461,B461,1))-3))+DATE(A461,B461,1),3-WEEKDAY(DATE(A461,B461,1))+DATE(A461,B461,1))+14</f>
        <v>48107</v>
      </c>
      <c r="E461" s="37">
        <f t="shared" si="294"/>
        <v>48107</v>
      </c>
      <c r="F461" s="14" t="str">
        <f t="shared" si="295"/>
        <v/>
      </c>
    </row>
    <row r="462" spans="1:6" ht="13.9" customHeight="1" x14ac:dyDescent="0.15">
      <c r="A462" s="10">
        <v>2031</v>
      </c>
      <c r="B462" s="10">
        <f t="shared" si="289"/>
        <v>9</v>
      </c>
      <c r="C462" s="67">
        <f t="shared" si="305"/>
        <v>48092</v>
      </c>
      <c r="D462" s="36">
        <f t="shared" ref="D462" si="322">IF(WEEKDAY((DATE(A460,B460,1)))&gt;4,(7-(WEEKDAY((DATE(A460,B460,1)))-4))+(DATE(A460,B460,1)),4-WEEKDAY((DATE(A460,B460,1)))+(DATE(A460,B460,1)))+21</f>
        <v>48115</v>
      </c>
      <c r="E462" s="37">
        <f t="shared" si="294"/>
        <v>48115</v>
      </c>
      <c r="F462" s="14" t="str">
        <f t="shared" si="295"/>
        <v/>
      </c>
    </row>
    <row r="463" spans="1:6" ht="13.9" customHeight="1" x14ac:dyDescent="0.15">
      <c r="A463" s="10">
        <v>2031</v>
      </c>
      <c r="B463" s="10">
        <f t="shared" si="289"/>
        <v>10</v>
      </c>
      <c r="C463" s="67">
        <f t="shared" si="305"/>
        <v>48122</v>
      </c>
      <c r="D463" s="36">
        <f t="shared" ref="D463" si="323">IF(WEEKDAY((DATE(A463,B463,1)))&gt;4,(7-(WEEKDAY((DATE(A463,B463,1)))-4))+(DATE(A463,B463,1)),4-WEEKDAY((DATE(A463,B463,1)))+(DATE(A463,B463,1)))+7</f>
        <v>48129</v>
      </c>
      <c r="E463" s="37">
        <f t="shared" si="294"/>
        <v>48129</v>
      </c>
      <c r="F463" s="14" t="str">
        <f t="shared" si="295"/>
        <v/>
      </c>
    </row>
    <row r="464" spans="1:6" ht="13.9" customHeight="1" x14ac:dyDescent="0.15">
      <c r="A464" s="10">
        <v>2031</v>
      </c>
      <c r="B464" s="10">
        <f t="shared" si="289"/>
        <v>10</v>
      </c>
      <c r="C464" s="67">
        <f t="shared" si="305"/>
        <v>48122</v>
      </c>
      <c r="D464" s="38">
        <f t="shared" ref="D464" si="324">IF(WEEKDAY(DATE(A464,B464,1))&gt;3,(7-(WEEKDAY(DATE(A464,B464,1))-3))+DATE(A464,B464,1),3-WEEKDAY(DATE(A464,B464,1))+DATE(A464,B464,1))+14</f>
        <v>48142</v>
      </c>
      <c r="E464" s="37">
        <f t="shared" si="294"/>
        <v>48142</v>
      </c>
      <c r="F464" s="14" t="str">
        <f t="shared" si="295"/>
        <v/>
      </c>
    </row>
    <row r="465" spans="1:6" ht="13.9" customHeight="1" x14ac:dyDescent="0.15">
      <c r="A465" s="10">
        <v>2031</v>
      </c>
      <c r="B465" s="10">
        <f t="shared" si="289"/>
        <v>10</v>
      </c>
      <c r="C465" s="67">
        <f t="shared" si="305"/>
        <v>48122</v>
      </c>
      <c r="D465" s="36">
        <f t="shared" ref="D465" si="325">IF(WEEKDAY((DATE(A463,B463,1)))&gt;4,(7-(WEEKDAY((DATE(A463,B463,1)))-4))+(DATE(A463,B463,1)),4-WEEKDAY((DATE(A463,B463,1)))+(DATE(A463,B463,1)))+21</f>
        <v>48143</v>
      </c>
      <c r="E465" s="37">
        <f t="shared" si="294"/>
        <v>48143</v>
      </c>
      <c r="F465" s="14" t="str">
        <f t="shared" si="295"/>
        <v/>
      </c>
    </row>
    <row r="466" spans="1:6" ht="13.9" customHeight="1" x14ac:dyDescent="0.15">
      <c r="A466" s="10">
        <v>2031</v>
      </c>
      <c r="B466" s="10">
        <f t="shared" si="289"/>
        <v>11</v>
      </c>
      <c r="C466" s="67">
        <f t="shared" si="305"/>
        <v>48153</v>
      </c>
      <c r="D466" s="36">
        <f t="shared" ref="D466" si="326">IF(WEEKDAY((DATE(A466,B466,1)))&gt;4,(7-(WEEKDAY((DATE(A466,B466,1)))-4))+(DATE(A466,B466,1)),4-WEEKDAY((DATE(A466,B466,1)))+(DATE(A466,B466,1)))+7</f>
        <v>48164</v>
      </c>
      <c r="E466" s="37">
        <f t="shared" si="294"/>
        <v>48164</v>
      </c>
      <c r="F466" s="14" t="str">
        <f t="shared" si="295"/>
        <v/>
      </c>
    </row>
    <row r="467" spans="1:6" ht="13.9" customHeight="1" x14ac:dyDescent="0.15">
      <c r="A467" s="10">
        <v>2031</v>
      </c>
      <c r="B467" s="10">
        <f t="shared" si="289"/>
        <v>11</v>
      </c>
      <c r="C467" s="67">
        <f t="shared" si="305"/>
        <v>48153</v>
      </c>
      <c r="D467" s="38">
        <f t="shared" ref="D467" si="327">IF(WEEKDAY(DATE(A467,B467,1))&gt;3,(7-(WEEKDAY(DATE(A467,B467,1))-3))+DATE(A467,B467,1),3-WEEKDAY(DATE(A467,B467,1))+DATE(A467,B467,1))+14</f>
        <v>48170</v>
      </c>
      <c r="E467" s="37">
        <f t="shared" si="294"/>
        <v>48170</v>
      </c>
      <c r="F467" s="14" t="str">
        <f t="shared" si="295"/>
        <v/>
      </c>
    </row>
    <row r="468" spans="1:6" ht="13.9" customHeight="1" x14ac:dyDescent="0.15">
      <c r="A468" s="10">
        <v>2031</v>
      </c>
      <c r="B468" s="10">
        <f t="shared" si="289"/>
        <v>11</v>
      </c>
      <c r="C468" s="67">
        <f t="shared" si="305"/>
        <v>48153</v>
      </c>
      <c r="D468" s="36">
        <f t="shared" ref="D468" si="328">IF(WEEKDAY((DATE(A466,B466,1)))&gt;4,(7-(WEEKDAY((DATE(A466,B466,1)))-4))+(DATE(A466,B466,1)),4-WEEKDAY((DATE(A466,B466,1)))+(DATE(A466,B466,1)))+21</f>
        <v>48178</v>
      </c>
      <c r="E468" s="37">
        <f t="shared" si="294"/>
        <v>48178</v>
      </c>
      <c r="F468" s="14" t="str">
        <f t="shared" si="295"/>
        <v/>
      </c>
    </row>
    <row r="469" spans="1:6" ht="13.9" customHeight="1" x14ac:dyDescent="0.15">
      <c r="A469" s="10">
        <v>2031</v>
      </c>
      <c r="B469" s="10">
        <f t="shared" si="289"/>
        <v>12</v>
      </c>
      <c r="C469" s="67">
        <f t="shared" si="305"/>
        <v>48183</v>
      </c>
      <c r="D469" s="36">
        <f t="shared" ref="D469" si="329">IF(WEEKDAY((DATE(A469,B469,1)))&gt;4,(7-(WEEKDAY((DATE(A469,B469,1)))-4))+(DATE(A469,B469,1)),4-WEEKDAY((DATE(A469,B469,1)))+(DATE(A469,B469,1)))+7</f>
        <v>48192</v>
      </c>
      <c r="E469" s="37">
        <f t="shared" ref="E469:E471" si="330">D469</f>
        <v>48192</v>
      </c>
      <c r="F469" s="14" t="str">
        <f t="shared" ref="F469:F471" si="331">IFERROR(INDEX($H$1:$AN$1,1,MATCH(1,H469:AN469)),"")</f>
        <v/>
      </c>
    </row>
    <row r="470" spans="1:6" ht="13.9" customHeight="1" x14ac:dyDescent="0.15">
      <c r="A470" s="10">
        <v>2031</v>
      </c>
      <c r="B470" s="10">
        <f t="shared" si="289"/>
        <v>12</v>
      </c>
      <c r="C470" s="67">
        <f t="shared" si="305"/>
        <v>48183</v>
      </c>
      <c r="D470" s="38">
        <f t="shared" ref="D470" si="332">IF(WEEKDAY(DATE(A470,B470,1))&gt;3,(7-(WEEKDAY(DATE(A470,B470,1))-3))+DATE(A470,B470,1),3-WEEKDAY(DATE(A470,B470,1))+DATE(A470,B470,1))+14</f>
        <v>48198</v>
      </c>
      <c r="E470" s="37">
        <f t="shared" si="330"/>
        <v>48198</v>
      </c>
      <c r="F470" s="14" t="str">
        <f t="shared" si="331"/>
        <v/>
      </c>
    </row>
    <row r="471" spans="1:6" ht="13.9" customHeight="1" x14ac:dyDescent="0.15">
      <c r="A471" s="10">
        <v>2031</v>
      </c>
      <c r="B471" s="10">
        <f t="shared" si="289"/>
        <v>12</v>
      </c>
      <c r="C471" s="67">
        <f t="shared" si="305"/>
        <v>48183</v>
      </c>
      <c r="D471" s="36">
        <f t="shared" ref="D471" si="333">IF(WEEKDAY((DATE(A469,B469,1)))&gt;4,(7-(WEEKDAY((DATE(A469,B469,1)))-4))+(DATE(A469,B469,1)),4-WEEKDAY((DATE(A469,B469,1)))+(DATE(A469,B469,1)))+21</f>
        <v>48206</v>
      </c>
      <c r="E471" s="37">
        <f t="shared" si="330"/>
        <v>48206</v>
      </c>
      <c r="F471" s="14" t="str">
        <f t="shared" si="331"/>
        <v/>
      </c>
    </row>
    <row r="472" spans="1:6" ht="13.9" customHeight="1" x14ac:dyDescent="0.15">
      <c r="A472" s="10">
        <v>2032</v>
      </c>
      <c r="B472" s="10">
        <f t="shared" si="289"/>
        <v>1</v>
      </c>
      <c r="C472" s="67">
        <f t="shared" si="305"/>
        <v>48214</v>
      </c>
      <c r="D472" s="36">
        <f t="shared" ref="D472" si="334">IF(WEEKDAY((DATE(A472,B472,1)))&gt;4,(7-(WEEKDAY((DATE(A472,B472,1)))-4))+(DATE(A472,B472,1)),4-WEEKDAY((DATE(A472,B472,1)))+(DATE(A472,B472,1)))+7</f>
        <v>48227</v>
      </c>
      <c r="E472" s="37">
        <f t="shared" ref="E472:E507" si="335">D472</f>
        <v>48227</v>
      </c>
      <c r="F472" s="14" t="str">
        <f t="shared" ref="F472:F507" si="336">IFERROR(INDEX($H$1:$AN$1,1,MATCH(1,H472:AN472)),"")</f>
        <v/>
      </c>
    </row>
    <row r="473" spans="1:6" ht="13.9" customHeight="1" x14ac:dyDescent="0.15">
      <c r="A473" s="10">
        <v>2032</v>
      </c>
      <c r="B473" s="10">
        <f t="shared" si="289"/>
        <v>1</v>
      </c>
      <c r="C473" s="67">
        <f t="shared" si="305"/>
        <v>48214</v>
      </c>
      <c r="D473" s="38">
        <f t="shared" ref="D473" si="337">IF(WEEKDAY(DATE(A473,B473,1))&gt;3,(7-(WEEKDAY(DATE(A473,B473,1))-3))+DATE(A473,B473,1),3-WEEKDAY(DATE(A473,B473,1))+DATE(A473,B473,1))+14</f>
        <v>48233</v>
      </c>
      <c r="E473" s="37">
        <f t="shared" si="335"/>
        <v>48233</v>
      </c>
      <c r="F473" s="14" t="str">
        <f t="shared" si="336"/>
        <v/>
      </c>
    </row>
    <row r="474" spans="1:6" ht="13.9" customHeight="1" x14ac:dyDescent="0.15">
      <c r="A474" s="10">
        <v>2032</v>
      </c>
      <c r="B474" s="10">
        <f t="shared" si="289"/>
        <v>1</v>
      </c>
      <c r="C474" s="67">
        <f t="shared" si="305"/>
        <v>48214</v>
      </c>
      <c r="D474" s="36">
        <f t="shared" ref="D474" si="338">IF(WEEKDAY((DATE(A472,B472,1)))&gt;4,(7-(WEEKDAY((DATE(A472,B472,1)))-4))+(DATE(A472,B472,1)),4-WEEKDAY((DATE(A472,B472,1)))+(DATE(A472,B472,1)))+21</f>
        <v>48241</v>
      </c>
      <c r="E474" s="37">
        <f t="shared" si="335"/>
        <v>48241</v>
      </c>
      <c r="F474" s="14" t="str">
        <f t="shared" si="336"/>
        <v/>
      </c>
    </row>
    <row r="475" spans="1:6" ht="13.9" customHeight="1" x14ac:dyDescent="0.15">
      <c r="A475" s="10">
        <v>2032</v>
      </c>
      <c r="B475" s="10">
        <f t="shared" si="289"/>
        <v>2</v>
      </c>
      <c r="C475" s="67">
        <f t="shared" si="305"/>
        <v>48245</v>
      </c>
      <c r="D475" s="36">
        <f t="shared" ref="D475" si="339">IF(WEEKDAY((DATE(A475,B475,1)))&gt;4,(7-(WEEKDAY((DATE(A475,B475,1)))-4))+(DATE(A475,B475,1)),4-WEEKDAY((DATE(A475,B475,1)))+(DATE(A475,B475,1)))+7</f>
        <v>48255</v>
      </c>
      <c r="E475" s="37">
        <f t="shared" si="335"/>
        <v>48255</v>
      </c>
      <c r="F475" s="14" t="str">
        <f t="shared" si="336"/>
        <v/>
      </c>
    </row>
    <row r="476" spans="1:6" ht="13.9" customHeight="1" x14ac:dyDescent="0.15">
      <c r="A476" s="10">
        <v>2032</v>
      </c>
      <c r="B476" s="10">
        <f t="shared" si="289"/>
        <v>2</v>
      </c>
      <c r="C476" s="67">
        <f t="shared" si="305"/>
        <v>48245</v>
      </c>
      <c r="D476" s="38">
        <f t="shared" ref="D476" si="340">IF(WEEKDAY(DATE(A476,B476,1))&gt;3,(7-(WEEKDAY(DATE(A476,B476,1))-3))+DATE(A476,B476,1),3-WEEKDAY(DATE(A476,B476,1))+DATE(A476,B476,1))+14</f>
        <v>48261</v>
      </c>
      <c r="E476" s="37">
        <f t="shared" si="335"/>
        <v>48261</v>
      </c>
      <c r="F476" s="14" t="str">
        <f t="shared" si="336"/>
        <v/>
      </c>
    </row>
    <row r="477" spans="1:6" ht="13.9" customHeight="1" x14ac:dyDescent="0.15">
      <c r="A477" s="10">
        <v>2032</v>
      </c>
      <c r="B477" s="10">
        <f t="shared" si="289"/>
        <v>2</v>
      </c>
      <c r="C477" s="67">
        <f t="shared" si="305"/>
        <v>48245</v>
      </c>
      <c r="D477" s="36">
        <f t="shared" ref="D477" si="341">IF(WEEKDAY((DATE(A475,B475,1)))&gt;4,(7-(WEEKDAY((DATE(A475,B475,1)))-4))+(DATE(A475,B475,1)),4-WEEKDAY((DATE(A475,B475,1)))+(DATE(A475,B475,1)))+21</f>
        <v>48269</v>
      </c>
      <c r="E477" s="37">
        <f t="shared" si="335"/>
        <v>48269</v>
      </c>
      <c r="F477" s="14" t="str">
        <f t="shared" si="336"/>
        <v/>
      </c>
    </row>
    <row r="478" spans="1:6" ht="13.9" customHeight="1" x14ac:dyDescent="0.15">
      <c r="A478" s="10">
        <v>2032</v>
      </c>
      <c r="B478" s="10">
        <f t="shared" si="289"/>
        <v>3</v>
      </c>
      <c r="C478" s="67">
        <f t="shared" si="305"/>
        <v>48274</v>
      </c>
      <c r="D478" s="36">
        <f t="shared" ref="D478" si="342">IF(WEEKDAY((DATE(A478,B478,1)))&gt;4,(7-(WEEKDAY((DATE(A478,B478,1)))-4))+(DATE(A478,B478,1)),4-WEEKDAY((DATE(A478,B478,1)))+(DATE(A478,B478,1)))+7</f>
        <v>48283</v>
      </c>
      <c r="E478" s="37">
        <f t="shared" si="335"/>
        <v>48283</v>
      </c>
      <c r="F478" s="14" t="str">
        <f t="shared" si="336"/>
        <v/>
      </c>
    </row>
    <row r="479" spans="1:6" ht="13.9" customHeight="1" x14ac:dyDescent="0.15">
      <c r="A479" s="10">
        <v>2032</v>
      </c>
      <c r="B479" s="10">
        <f t="shared" si="289"/>
        <v>3</v>
      </c>
      <c r="C479" s="67">
        <f t="shared" si="305"/>
        <v>48274</v>
      </c>
      <c r="D479" s="38">
        <f t="shared" ref="D479" si="343">IF(WEEKDAY(DATE(A479,B479,1))&gt;3,(7-(WEEKDAY(DATE(A479,B479,1))-3))+DATE(A479,B479,1),3-WEEKDAY(DATE(A479,B479,1))+DATE(A479,B479,1))+14</f>
        <v>48289</v>
      </c>
      <c r="E479" s="37">
        <f t="shared" si="335"/>
        <v>48289</v>
      </c>
      <c r="F479" s="14" t="str">
        <f t="shared" si="336"/>
        <v/>
      </c>
    </row>
    <row r="480" spans="1:6" ht="13.9" customHeight="1" x14ac:dyDescent="0.15">
      <c r="A480" s="10">
        <v>2032</v>
      </c>
      <c r="B480" s="10">
        <f t="shared" si="289"/>
        <v>3</v>
      </c>
      <c r="C480" s="67">
        <f t="shared" si="305"/>
        <v>48274</v>
      </c>
      <c r="D480" s="36">
        <f t="shared" ref="D480" si="344">IF(WEEKDAY((DATE(A478,B478,1)))&gt;4,(7-(WEEKDAY((DATE(A478,B478,1)))-4))+(DATE(A478,B478,1)),4-WEEKDAY((DATE(A478,B478,1)))+(DATE(A478,B478,1)))+21</f>
        <v>48297</v>
      </c>
      <c r="E480" s="37">
        <f t="shared" si="335"/>
        <v>48297</v>
      </c>
      <c r="F480" s="14" t="str">
        <f t="shared" si="336"/>
        <v/>
      </c>
    </row>
    <row r="481" spans="1:6" ht="13.9" customHeight="1" x14ac:dyDescent="0.15">
      <c r="A481" s="10">
        <v>2032</v>
      </c>
      <c r="B481" s="10">
        <f t="shared" si="289"/>
        <v>4</v>
      </c>
      <c r="C481" s="67">
        <f t="shared" si="305"/>
        <v>48305</v>
      </c>
      <c r="D481" s="36">
        <f t="shared" ref="D481" si="345">IF(WEEKDAY((DATE(A481,B481,1)))&gt;4,(7-(WEEKDAY((DATE(A481,B481,1)))-4))+(DATE(A481,B481,1)),4-WEEKDAY((DATE(A481,B481,1)))+(DATE(A481,B481,1)))+7</f>
        <v>48318</v>
      </c>
      <c r="E481" s="37">
        <f t="shared" si="335"/>
        <v>48318</v>
      </c>
      <c r="F481" s="14" t="str">
        <f t="shared" si="336"/>
        <v/>
      </c>
    </row>
    <row r="482" spans="1:6" ht="13.9" customHeight="1" x14ac:dyDescent="0.15">
      <c r="A482" s="10">
        <v>2032</v>
      </c>
      <c r="B482" s="10">
        <f t="shared" si="289"/>
        <v>4</v>
      </c>
      <c r="C482" s="67">
        <f t="shared" si="305"/>
        <v>48305</v>
      </c>
      <c r="D482" s="38">
        <f t="shared" ref="D482" si="346">IF(WEEKDAY(DATE(A482,B482,1))&gt;3,(7-(WEEKDAY(DATE(A482,B482,1))-3))+DATE(A482,B482,1),3-WEEKDAY(DATE(A482,B482,1))+DATE(A482,B482,1))+14</f>
        <v>48324</v>
      </c>
      <c r="E482" s="37">
        <f t="shared" si="335"/>
        <v>48324</v>
      </c>
      <c r="F482" s="14" t="str">
        <f t="shared" si="336"/>
        <v/>
      </c>
    </row>
    <row r="483" spans="1:6" ht="13.9" customHeight="1" x14ac:dyDescent="0.15">
      <c r="A483" s="10">
        <v>2032</v>
      </c>
      <c r="B483" s="10">
        <f t="shared" si="289"/>
        <v>4</v>
      </c>
      <c r="C483" s="67">
        <f t="shared" si="305"/>
        <v>48305</v>
      </c>
      <c r="D483" s="36">
        <f t="shared" ref="D483" si="347">IF(WEEKDAY((DATE(A481,B481,1)))&gt;4,(7-(WEEKDAY((DATE(A481,B481,1)))-4))+(DATE(A481,B481,1)),4-WEEKDAY((DATE(A481,B481,1)))+(DATE(A481,B481,1)))+21</f>
        <v>48332</v>
      </c>
      <c r="E483" s="37">
        <f t="shared" si="335"/>
        <v>48332</v>
      </c>
      <c r="F483" s="14" t="str">
        <f t="shared" si="336"/>
        <v/>
      </c>
    </row>
    <row r="484" spans="1:6" ht="13.9" customHeight="1" x14ac:dyDescent="0.15">
      <c r="A484" s="10">
        <v>2032</v>
      </c>
      <c r="B484" s="10">
        <f t="shared" si="289"/>
        <v>5</v>
      </c>
      <c r="C484" s="67">
        <f t="shared" si="305"/>
        <v>48335</v>
      </c>
      <c r="D484" s="36">
        <f t="shared" ref="D484" si="348">IF(WEEKDAY((DATE(A484,B484,1)))&gt;4,(7-(WEEKDAY((DATE(A484,B484,1)))-4))+(DATE(A484,B484,1)),4-WEEKDAY((DATE(A484,B484,1)))+(DATE(A484,B484,1)))+7</f>
        <v>48346</v>
      </c>
      <c r="E484" s="37">
        <f t="shared" si="335"/>
        <v>48346</v>
      </c>
      <c r="F484" s="14" t="str">
        <f t="shared" si="336"/>
        <v/>
      </c>
    </row>
    <row r="485" spans="1:6" ht="13.9" customHeight="1" x14ac:dyDescent="0.15">
      <c r="A485" s="10">
        <v>2032</v>
      </c>
      <c r="B485" s="10">
        <f t="shared" si="289"/>
        <v>5</v>
      </c>
      <c r="C485" s="67">
        <f t="shared" si="305"/>
        <v>48335</v>
      </c>
      <c r="D485" s="38">
        <f t="shared" ref="D485" si="349">IF(WEEKDAY(DATE(A485,B485,1))&gt;3,(7-(WEEKDAY(DATE(A485,B485,1))-3))+DATE(A485,B485,1),3-WEEKDAY(DATE(A485,B485,1))+DATE(A485,B485,1))+14</f>
        <v>48352</v>
      </c>
      <c r="E485" s="37">
        <f t="shared" si="335"/>
        <v>48352</v>
      </c>
      <c r="F485" s="14" t="str">
        <f t="shared" si="336"/>
        <v/>
      </c>
    </row>
    <row r="486" spans="1:6" ht="13.9" customHeight="1" x14ac:dyDescent="0.15">
      <c r="A486" s="10">
        <v>2032</v>
      </c>
      <c r="B486" s="10">
        <f t="shared" si="289"/>
        <v>5</v>
      </c>
      <c r="C486" s="67">
        <f t="shared" si="305"/>
        <v>48335</v>
      </c>
      <c r="D486" s="36">
        <f t="shared" ref="D486" si="350">IF(WEEKDAY((DATE(A484,B484,1)))&gt;4,(7-(WEEKDAY((DATE(A484,B484,1)))-4))+(DATE(A484,B484,1)),4-WEEKDAY((DATE(A484,B484,1)))+(DATE(A484,B484,1)))+21</f>
        <v>48360</v>
      </c>
      <c r="E486" s="37">
        <f t="shared" si="335"/>
        <v>48360</v>
      </c>
      <c r="F486" s="14" t="str">
        <f t="shared" si="336"/>
        <v/>
      </c>
    </row>
    <row r="487" spans="1:6" ht="13.9" customHeight="1" x14ac:dyDescent="0.15">
      <c r="A487" s="10">
        <v>2032</v>
      </c>
      <c r="B487" s="10">
        <f t="shared" si="289"/>
        <v>6</v>
      </c>
      <c r="C487" s="67">
        <f t="shared" si="305"/>
        <v>48366</v>
      </c>
      <c r="D487" s="36">
        <f t="shared" ref="D487" si="351">IF(WEEKDAY((DATE(A487,B487,1)))&gt;4,(7-(WEEKDAY((DATE(A487,B487,1)))-4))+(DATE(A487,B487,1)),4-WEEKDAY((DATE(A487,B487,1)))+(DATE(A487,B487,1)))+7</f>
        <v>48374</v>
      </c>
      <c r="E487" s="37">
        <f t="shared" si="335"/>
        <v>48374</v>
      </c>
      <c r="F487" s="14" t="str">
        <f t="shared" si="336"/>
        <v/>
      </c>
    </row>
    <row r="488" spans="1:6" ht="13.9" customHeight="1" x14ac:dyDescent="0.15">
      <c r="A488" s="10">
        <v>2032</v>
      </c>
      <c r="B488" s="10">
        <f t="shared" si="289"/>
        <v>6</v>
      </c>
      <c r="C488" s="67">
        <f t="shared" si="305"/>
        <v>48366</v>
      </c>
      <c r="D488" s="38">
        <f t="shared" ref="D488" si="352">IF(WEEKDAY(DATE(A488,B488,1))&gt;3,(7-(WEEKDAY(DATE(A488,B488,1))-3))+DATE(A488,B488,1),3-WEEKDAY(DATE(A488,B488,1))+DATE(A488,B488,1))+14</f>
        <v>48380</v>
      </c>
      <c r="E488" s="37">
        <f t="shared" si="335"/>
        <v>48380</v>
      </c>
      <c r="F488" s="14" t="str">
        <f t="shared" si="336"/>
        <v/>
      </c>
    </row>
    <row r="489" spans="1:6" ht="13.9" customHeight="1" x14ac:dyDescent="0.15">
      <c r="A489" s="10">
        <v>2032</v>
      </c>
      <c r="B489" s="10">
        <f t="shared" si="289"/>
        <v>6</v>
      </c>
      <c r="C489" s="67">
        <f t="shared" si="305"/>
        <v>48366</v>
      </c>
      <c r="D489" s="36">
        <f t="shared" ref="D489" si="353">IF(WEEKDAY((DATE(A487,B487,1)))&gt;4,(7-(WEEKDAY((DATE(A487,B487,1)))-4))+(DATE(A487,B487,1)),4-WEEKDAY((DATE(A487,B487,1)))+(DATE(A487,B487,1)))+21</f>
        <v>48388</v>
      </c>
      <c r="E489" s="37">
        <f t="shared" si="335"/>
        <v>48388</v>
      </c>
      <c r="F489" s="14" t="str">
        <f t="shared" si="336"/>
        <v/>
      </c>
    </row>
    <row r="490" spans="1:6" ht="13.9" customHeight="1" x14ac:dyDescent="0.15">
      <c r="A490" s="10">
        <v>2032</v>
      </c>
      <c r="B490" s="10">
        <f t="shared" si="289"/>
        <v>7</v>
      </c>
      <c r="C490" s="67">
        <f t="shared" si="305"/>
        <v>48396</v>
      </c>
      <c r="D490" s="36">
        <f t="shared" ref="D490" si="354">IF(WEEKDAY((DATE(A490,B490,1)))&gt;4,(7-(WEEKDAY((DATE(A490,B490,1)))-4))+(DATE(A490,B490,1)),4-WEEKDAY((DATE(A490,B490,1)))+(DATE(A490,B490,1)))+7</f>
        <v>48409</v>
      </c>
      <c r="E490" s="37">
        <f t="shared" si="335"/>
        <v>48409</v>
      </c>
      <c r="F490" s="14" t="str">
        <f t="shared" si="336"/>
        <v/>
      </c>
    </row>
    <row r="491" spans="1:6" ht="13.9" customHeight="1" x14ac:dyDescent="0.15">
      <c r="A491" s="10">
        <v>2032</v>
      </c>
      <c r="B491" s="10">
        <f t="shared" si="289"/>
        <v>7</v>
      </c>
      <c r="C491" s="67">
        <f t="shared" si="305"/>
        <v>48396</v>
      </c>
      <c r="D491" s="38">
        <f t="shared" ref="D491" si="355">IF(WEEKDAY(DATE(A491,B491,1))&gt;3,(7-(WEEKDAY(DATE(A491,B491,1))-3))+DATE(A491,B491,1),3-WEEKDAY(DATE(A491,B491,1))+DATE(A491,B491,1))+14</f>
        <v>48415</v>
      </c>
      <c r="E491" s="37">
        <f t="shared" si="335"/>
        <v>48415</v>
      </c>
      <c r="F491" s="14" t="str">
        <f t="shared" si="336"/>
        <v/>
      </c>
    </row>
    <row r="492" spans="1:6" ht="13.9" customHeight="1" x14ac:dyDescent="0.15">
      <c r="A492" s="10">
        <v>2032</v>
      </c>
      <c r="B492" s="10">
        <f t="shared" si="289"/>
        <v>7</v>
      </c>
      <c r="C492" s="67">
        <f t="shared" si="305"/>
        <v>48396</v>
      </c>
      <c r="D492" s="36">
        <f t="shared" ref="D492" si="356">IF(WEEKDAY((DATE(A490,B490,1)))&gt;4,(7-(WEEKDAY((DATE(A490,B490,1)))-4))+(DATE(A490,B490,1)),4-WEEKDAY((DATE(A490,B490,1)))+(DATE(A490,B490,1)))+21</f>
        <v>48423</v>
      </c>
      <c r="E492" s="37">
        <f t="shared" si="335"/>
        <v>48423</v>
      </c>
      <c r="F492" s="14" t="str">
        <f t="shared" si="336"/>
        <v/>
      </c>
    </row>
    <row r="493" spans="1:6" ht="13.9" customHeight="1" x14ac:dyDescent="0.15">
      <c r="A493" s="10">
        <v>2032</v>
      </c>
      <c r="B493" s="10">
        <f t="shared" si="289"/>
        <v>8</v>
      </c>
      <c r="C493" s="67">
        <f t="shared" si="305"/>
        <v>48427</v>
      </c>
      <c r="D493" s="36">
        <f t="shared" ref="D493" si="357">IF(WEEKDAY((DATE(A493,B493,1)))&gt;4,(7-(WEEKDAY((DATE(A493,B493,1)))-4))+(DATE(A493,B493,1)),4-WEEKDAY((DATE(A493,B493,1)))+(DATE(A493,B493,1)))+7</f>
        <v>48437</v>
      </c>
      <c r="E493" s="37">
        <f t="shared" si="335"/>
        <v>48437</v>
      </c>
      <c r="F493" s="14" t="str">
        <f t="shared" si="336"/>
        <v/>
      </c>
    </row>
    <row r="494" spans="1:6" ht="13.9" customHeight="1" x14ac:dyDescent="0.15">
      <c r="A494" s="10">
        <v>2032</v>
      </c>
      <c r="B494" s="10">
        <f t="shared" si="289"/>
        <v>8</v>
      </c>
      <c r="C494" s="67">
        <f t="shared" si="305"/>
        <v>48427</v>
      </c>
      <c r="D494" s="38">
        <f t="shared" ref="D494" si="358">IF(WEEKDAY(DATE(A494,B494,1))&gt;3,(7-(WEEKDAY(DATE(A494,B494,1))-3))+DATE(A494,B494,1),3-WEEKDAY(DATE(A494,B494,1))+DATE(A494,B494,1))+14</f>
        <v>48443</v>
      </c>
      <c r="E494" s="37">
        <f t="shared" si="335"/>
        <v>48443</v>
      </c>
      <c r="F494" s="14" t="str">
        <f t="shared" si="336"/>
        <v/>
      </c>
    </row>
    <row r="495" spans="1:6" ht="13.9" customHeight="1" x14ac:dyDescent="0.15">
      <c r="A495" s="10">
        <v>2032</v>
      </c>
      <c r="B495" s="10">
        <f t="shared" si="289"/>
        <v>8</v>
      </c>
      <c r="C495" s="67">
        <f t="shared" si="305"/>
        <v>48427</v>
      </c>
      <c r="D495" s="36">
        <f t="shared" ref="D495" si="359">IF(WEEKDAY((DATE(A493,B493,1)))&gt;4,(7-(WEEKDAY((DATE(A493,B493,1)))-4))+(DATE(A493,B493,1)),4-WEEKDAY((DATE(A493,B493,1)))+(DATE(A493,B493,1)))+21</f>
        <v>48451</v>
      </c>
      <c r="E495" s="37">
        <f t="shared" si="335"/>
        <v>48451</v>
      </c>
      <c r="F495" s="14" t="str">
        <f t="shared" si="336"/>
        <v/>
      </c>
    </row>
    <row r="496" spans="1:6" ht="13.9" customHeight="1" x14ac:dyDescent="0.15">
      <c r="A496" s="10">
        <v>2032</v>
      </c>
      <c r="B496" s="10">
        <f t="shared" si="289"/>
        <v>9</v>
      </c>
      <c r="C496" s="67">
        <f t="shared" si="305"/>
        <v>48458</v>
      </c>
      <c r="D496" s="36">
        <f t="shared" ref="D496" si="360">IF(WEEKDAY((DATE(A496,B496,1)))&gt;4,(7-(WEEKDAY((DATE(A496,B496,1)))-4))+(DATE(A496,B496,1)),4-WEEKDAY((DATE(A496,B496,1)))+(DATE(A496,B496,1)))+7</f>
        <v>48465</v>
      </c>
      <c r="E496" s="37">
        <f t="shared" si="335"/>
        <v>48465</v>
      </c>
      <c r="F496" s="14" t="str">
        <f t="shared" si="336"/>
        <v/>
      </c>
    </row>
    <row r="497" spans="1:6" ht="13.9" customHeight="1" x14ac:dyDescent="0.15">
      <c r="A497" s="10">
        <v>2032</v>
      </c>
      <c r="B497" s="10">
        <f t="shared" ref="B497:B560" si="361">IF(B494+1&gt;12,B494+1-12,B494+1)</f>
        <v>9</v>
      </c>
      <c r="C497" s="67">
        <f t="shared" si="305"/>
        <v>48458</v>
      </c>
      <c r="D497" s="38">
        <f t="shared" ref="D497" si="362">IF(WEEKDAY(DATE(A497,B497,1))&gt;3,(7-(WEEKDAY(DATE(A497,B497,1))-3))+DATE(A497,B497,1),3-WEEKDAY(DATE(A497,B497,1))+DATE(A497,B497,1))+14</f>
        <v>48478</v>
      </c>
      <c r="E497" s="37">
        <f t="shared" si="335"/>
        <v>48478</v>
      </c>
      <c r="F497" s="14" t="str">
        <f t="shared" si="336"/>
        <v/>
      </c>
    </row>
    <row r="498" spans="1:6" ht="13.9" customHeight="1" x14ac:dyDescent="0.15">
      <c r="A498" s="10">
        <v>2032</v>
      </c>
      <c r="B498" s="10">
        <f t="shared" si="361"/>
        <v>9</v>
      </c>
      <c r="C498" s="67">
        <f t="shared" si="305"/>
        <v>48458</v>
      </c>
      <c r="D498" s="36">
        <f t="shared" ref="D498" si="363">IF(WEEKDAY((DATE(A496,B496,1)))&gt;4,(7-(WEEKDAY((DATE(A496,B496,1)))-4))+(DATE(A496,B496,1)),4-WEEKDAY((DATE(A496,B496,1)))+(DATE(A496,B496,1)))+21</f>
        <v>48479</v>
      </c>
      <c r="E498" s="37">
        <f t="shared" si="335"/>
        <v>48479</v>
      </c>
      <c r="F498" s="14" t="str">
        <f t="shared" si="336"/>
        <v/>
      </c>
    </row>
    <row r="499" spans="1:6" ht="13.9" customHeight="1" x14ac:dyDescent="0.15">
      <c r="A499" s="10">
        <v>2032</v>
      </c>
      <c r="B499" s="10">
        <f t="shared" si="361"/>
        <v>10</v>
      </c>
      <c r="C499" s="67">
        <f t="shared" si="305"/>
        <v>48488</v>
      </c>
      <c r="D499" s="36">
        <f t="shared" ref="D499" si="364">IF(WEEKDAY((DATE(A499,B499,1)))&gt;4,(7-(WEEKDAY((DATE(A499,B499,1)))-4))+(DATE(A499,B499,1)),4-WEEKDAY((DATE(A499,B499,1)))+(DATE(A499,B499,1)))+7</f>
        <v>48500</v>
      </c>
      <c r="E499" s="37">
        <f t="shared" si="335"/>
        <v>48500</v>
      </c>
      <c r="F499" s="14" t="str">
        <f t="shared" si="336"/>
        <v/>
      </c>
    </row>
    <row r="500" spans="1:6" ht="13.9" customHeight="1" x14ac:dyDescent="0.15">
      <c r="A500" s="10">
        <v>2032</v>
      </c>
      <c r="B500" s="10">
        <f t="shared" si="361"/>
        <v>10</v>
      </c>
      <c r="C500" s="67">
        <f t="shared" si="305"/>
        <v>48488</v>
      </c>
      <c r="D500" s="38">
        <f t="shared" ref="D500" si="365">IF(WEEKDAY(DATE(A500,B500,1))&gt;3,(7-(WEEKDAY(DATE(A500,B500,1))-3))+DATE(A500,B500,1),3-WEEKDAY(DATE(A500,B500,1))+DATE(A500,B500,1))+14</f>
        <v>48506</v>
      </c>
      <c r="E500" s="37">
        <f t="shared" si="335"/>
        <v>48506</v>
      </c>
      <c r="F500" s="14" t="str">
        <f t="shared" si="336"/>
        <v/>
      </c>
    </row>
    <row r="501" spans="1:6" ht="13.9" customHeight="1" x14ac:dyDescent="0.15">
      <c r="A501" s="10">
        <v>2032</v>
      </c>
      <c r="B501" s="10">
        <f t="shared" si="361"/>
        <v>10</v>
      </c>
      <c r="C501" s="67">
        <f t="shared" si="305"/>
        <v>48488</v>
      </c>
      <c r="D501" s="36">
        <f t="shared" ref="D501" si="366">IF(WEEKDAY((DATE(A499,B499,1)))&gt;4,(7-(WEEKDAY((DATE(A499,B499,1)))-4))+(DATE(A499,B499,1)),4-WEEKDAY((DATE(A499,B499,1)))+(DATE(A499,B499,1)))+21</f>
        <v>48514</v>
      </c>
      <c r="E501" s="37">
        <f t="shared" si="335"/>
        <v>48514</v>
      </c>
      <c r="F501" s="14" t="str">
        <f t="shared" si="336"/>
        <v/>
      </c>
    </row>
    <row r="502" spans="1:6" ht="13.9" customHeight="1" x14ac:dyDescent="0.15">
      <c r="A502" s="10">
        <v>2032</v>
      </c>
      <c r="B502" s="10">
        <f t="shared" si="361"/>
        <v>11</v>
      </c>
      <c r="C502" s="67">
        <f t="shared" si="305"/>
        <v>48519</v>
      </c>
      <c r="D502" s="36">
        <f t="shared" ref="D502" si="367">IF(WEEKDAY((DATE(A502,B502,1)))&gt;4,(7-(WEEKDAY((DATE(A502,B502,1)))-4))+(DATE(A502,B502,1)),4-WEEKDAY((DATE(A502,B502,1)))+(DATE(A502,B502,1)))+7</f>
        <v>48528</v>
      </c>
      <c r="E502" s="37">
        <f t="shared" si="335"/>
        <v>48528</v>
      </c>
      <c r="F502" s="14" t="str">
        <f t="shared" si="336"/>
        <v/>
      </c>
    </row>
    <row r="503" spans="1:6" ht="13.9" customHeight="1" x14ac:dyDescent="0.15">
      <c r="A503" s="10">
        <v>2032</v>
      </c>
      <c r="B503" s="10">
        <f t="shared" si="361"/>
        <v>11</v>
      </c>
      <c r="C503" s="67">
        <f t="shared" si="305"/>
        <v>48519</v>
      </c>
      <c r="D503" s="38">
        <f t="shared" ref="D503" si="368">IF(WEEKDAY(DATE(A503,B503,1))&gt;3,(7-(WEEKDAY(DATE(A503,B503,1))-3))+DATE(A503,B503,1),3-WEEKDAY(DATE(A503,B503,1))+DATE(A503,B503,1))+14</f>
        <v>48534</v>
      </c>
      <c r="E503" s="37">
        <f t="shared" si="335"/>
        <v>48534</v>
      </c>
      <c r="F503" s="14" t="str">
        <f t="shared" si="336"/>
        <v/>
      </c>
    </row>
    <row r="504" spans="1:6" ht="13.9" customHeight="1" x14ac:dyDescent="0.15">
      <c r="A504" s="10">
        <v>2032</v>
      </c>
      <c r="B504" s="10">
        <f t="shared" si="361"/>
        <v>11</v>
      </c>
      <c r="C504" s="67">
        <f t="shared" si="305"/>
        <v>48519</v>
      </c>
      <c r="D504" s="36">
        <f t="shared" ref="D504" si="369">IF(WEEKDAY((DATE(A502,B502,1)))&gt;4,(7-(WEEKDAY((DATE(A502,B502,1)))-4))+(DATE(A502,B502,1)),4-WEEKDAY((DATE(A502,B502,1)))+(DATE(A502,B502,1)))+21</f>
        <v>48542</v>
      </c>
      <c r="E504" s="37">
        <f t="shared" si="335"/>
        <v>48542</v>
      </c>
      <c r="F504" s="14" t="str">
        <f t="shared" si="336"/>
        <v/>
      </c>
    </row>
    <row r="505" spans="1:6" ht="13.9" customHeight="1" x14ac:dyDescent="0.15">
      <c r="A505" s="10">
        <v>2032</v>
      </c>
      <c r="B505" s="10">
        <f t="shared" si="361"/>
        <v>12</v>
      </c>
      <c r="C505" s="67">
        <f t="shared" si="305"/>
        <v>48549</v>
      </c>
      <c r="D505" s="36">
        <f t="shared" ref="D505" si="370">IF(WEEKDAY((DATE(A505,B505,1)))&gt;4,(7-(WEEKDAY((DATE(A505,B505,1)))-4))+(DATE(A505,B505,1)),4-WEEKDAY((DATE(A505,B505,1)))+(DATE(A505,B505,1)))+7</f>
        <v>48556</v>
      </c>
      <c r="E505" s="37">
        <f t="shared" si="335"/>
        <v>48556</v>
      </c>
      <c r="F505" s="14" t="str">
        <f t="shared" si="336"/>
        <v/>
      </c>
    </row>
    <row r="506" spans="1:6" ht="13.9" customHeight="1" x14ac:dyDescent="0.15">
      <c r="A506" s="10">
        <v>2032</v>
      </c>
      <c r="B506" s="10">
        <f t="shared" si="361"/>
        <v>12</v>
      </c>
      <c r="C506" s="67">
        <f t="shared" si="305"/>
        <v>48549</v>
      </c>
      <c r="D506" s="38">
        <f t="shared" ref="D506" si="371">IF(WEEKDAY(DATE(A506,B506,1))&gt;3,(7-(WEEKDAY(DATE(A506,B506,1))-3))+DATE(A506,B506,1),3-WEEKDAY(DATE(A506,B506,1))+DATE(A506,B506,1))+14</f>
        <v>48569</v>
      </c>
      <c r="E506" s="37">
        <f t="shared" si="335"/>
        <v>48569</v>
      </c>
      <c r="F506" s="14" t="str">
        <f t="shared" si="336"/>
        <v/>
      </c>
    </row>
    <row r="507" spans="1:6" ht="13.9" customHeight="1" x14ac:dyDescent="0.15">
      <c r="A507" s="10">
        <v>2032</v>
      </c>
      <c r="B507" s="10">
        <f t="shared" si="361"/>
        <v>12</v>
      </c>
      <c r="C507" s="67">
        <f t="shared" si="305"/>
        <v>48549</v>
      </c>
      <c r="D507" s="36">
        <f t="shared" ref="D507" si="372">IF(WEEKDAY((DATE(A505,B505,1)))&gt;4,(7-(WEEKDAY((DATE(A505,B505,1)))-4))+(DATE(A505,B505,1)),4-WEEKDAY((DATE(A505,B505,1)))+(DATE(A505,B505,1)))+21</f>
        <v>48570</v>
      </c>
      <c r="E507" s="37">
        <f t="shared" si="335"/>
        <v>48570</v>
      </c>
      <c r="F507" s="14" t="str">
        <f t="shared" si="336"/>
        <v/>
      </c>
    </row>
    <row r="508" spans="1:6" ht="13.9" customHeight="1" x14ac:dyDescent="0.15">
      <c r="A508" s="10">
        <v>2033</v>
      </c>
      <c r="B508" s="10">
        <f t="shared" si="361"/>
        <v>1</v>
      </c>
      <c r="C508" s="67">
        <f t="shared" si="305"/>
        <v>48580</v>
      </c>
      <c r="D508" s="36">
        <f t="shared" ref="D508" si="373">IF(WEEKDAY((DATE(A508,B508,1)))&gt;4,(7-(WEEKDAY((DATE(A508,B508,1)))-4))+(DATE(A508,B508,1)),4-WEEKDAY((DATE(A508,B508,1)))+(DATE(A508,B508,1)))+7</f>
        <v>48591</v>
      </c>
      <c r="E508" s="37">
        <f t="shared" ref="E508:E571" si="374">D508</f>
        <v>48591</v>
      </c>
      <c r="F508" s="14" t="str">
        <f t="shared" ref="F508:F571" si="375">IFERROR(INDEX($H$1:$AN$1,1,MATCH(1,H508:AN508)),"")</f>
        <v/>
      </c>
    </row>
    <row r="509" spans="1:6" ht="13.9" customHeight="1" x14ac:dyDescent="0.15">
      <c r="A509" s="10">
        <v>2033</v>
      </c>
      <c r="B509" s="10">
        <f t="shared" si="361"/>
        <v>1</v>
      </c>
      <c r="C509" s="67">
        <f t="shared" si="305"/>
        <v>48580</v>
      </c>
      <c r="D509" s="38">
        <f t="shared" ref="D509" si="376">IF(WEEKDAY(DATE(A509,B509,1))&gt;3,(7-(WEEKDAY(DATE(A509,B509,1))-3))+DATE(A509,B509,1),3-WEEKDAY(DATE(A509,B509,1))+DATE(A509,B509,1))+14</f>
        <v>48597</v>
      </c>
      <c r="E509" s="37">
        <f t="shared" si="374"/>
        <v>48597</v>
      </c>
      <c r="F509" s="14" t="str">
        <f t="shared" si="375"/>
        <v/>
      </c>
    </row>
    <row r="510" spans="1:6" ht="13.9" customHeight="1" x14ac:dyDescent="0.15">
      <c r="A510" s="10">
        <v>2033</v>
      </c>
      <c r="B510" s="10">
        <f t="shared" si="361"/>
        <v>1</v>
      </c>
      <c r="C510" s="67">
        <f t="shared" ref="C510:C573" si="377">DATE(A510,B510,1)</f>
        <v>48580</v>
      </c>
      <c r="D510" s="36">
        <f t="shared" ref="D510" si="378">IF(WEEKDAY((DATE(A508,B508,1)))&gt;4,(7-(WEEKDAY((DATE(A508,B508,1)))-4))+(DATE(A508,B508,1)),4-WEEKDAY((DATE(A508,B508,1)))+(DATE(A508,B508,1)))+21</f>
        <v>48605</v>
      </c>
      <c r="E510" s="37">
        <f t="shared" si="374"/>
        <v>48605</v>
      </c>
      <c r="F510" s="14" t="str">
        <f t="shared" si="375"/>
        <v/>
      </c>
    </row>
    <row r="511" spans="1:6" ht="13.9" customHeight="1" x14ac:dyDescent="0.15">
      <c r="A511" s="10">
        <v>2033</v>
      </c>
      <c r="B511" s="10">
        <f t="shared" si="361"/>
        <v>2</v>
      </c>
      <c r="C511" s="67">
        <f t="shared" si="377"/>
        <v>48611</v>
      </c>
      <c r="D511" s="36">
        <f t="shared" ref="D511" si="379">IF(WEEKDAY((DATE(A511,B511,1)))&gt;4,(7-(WEEKDAY((DATE(A511,B511,1)))-4))+(DATE(A511,B511,1)),4-WEEKDAY((DATE(A511,B511,1)))+(DATE(A511,B511,1)))+7</f>
        <v>48619</v>
      </c>
      <c r="E511" s="37">
        <f t="shared" si="374"/>
        <v>48619</v>
      </c>
      <c r="F511" s="14" t="str">
        <f t="shared" si="375"/>
        <v/>
      </c>
    </row>
    <row r="512" spans="1:6" ht="13.9" customHeight="1" x14ac:dyDescent="0.15">
      <c r="A512" s="10">
        <v>2033</v>
      </c>
      <c r="B512" s="10">
        <f t="shared" si="361"/>
        <v>2</v>
      </c>
      <c r="C512" s="67">
        <f t="shared" si="377"/>
        <v>48611</v>
      </c>
      <c r="D512" s="38">
        <f t="shared" ref="D512" si="380">IF(WEEKDAY(DATE(A512,B512,1))&gt;3,(7-(WEEKDAY(DATE(A512,B512,1))-3))+DATE(A512,B512,1),3-WEEKDAY(DATE(A512,B512,1))+DATE(A512,B512,1))+14</f>
        <v>48625</v>
      </c>
      <c r="E512" s="37">
        <f t="shared" si="374"/>
        <v>48625</v>
      </c>
      <c r="F512" s="14" t="str">
        <f t="shared" si="375"/>
        <v/>
      </c>
    </row>
    <row r="513" spans="1:6" ht="13.9" customHeight="1" x14ac:dyDescent="0.15">
      <c r="A513" s="10">
        <v>2033</v>
      </c>
      <c r="B513" s="10">
        <f t="shared" si="361"/>
        <v>2</v>
      </c>
      <c r="C513" s="67">
        <f t="shared" si="377"/>
        <v>48611</v>
      </c>
      <c r="D513" s="36">
        <f t="shared" ref="D513" si="381">IF(WEEKDAY((DATE(A511,B511,1)))&gt;4,(7-(WEEKDAY((DATE(A511,B511,1)))-4))+(DATE(A511,B511,1)),4-WEEKDAY((DATE(A511,B511,1)))+(DATE(A511,B511,1)))+21</f>
        <v>48633</v>
      </c>
      <c r="E513" s="37">
        <f t="shared" si="374"/>
        <v>48633</v>
      </c>
      <c r="F513" s="14" t="str">
        <f t="shared" si="375"/>
        <v/>
      </c>
    </row>
    <row r="514" spans="1:6" ht="13.9" customHeight="1" x14ac:dyDescent="0.15">
      <c r="A514" s="10">
        <v>2033</v>
      </c>
      <c r="B514" s="10">
        <f t="shared" si="361"/>
        <v>3</v>
      </c>
      <c r="C514" s="67">
        <f t="shared" si="377"/>
        <v>48639</v>
      </c>
      <c r="D514" s="36">
        <f t="shared" ref="D514" si="382">IF(WEEKDAY((DATE(A514,B514,1)))&gt;4,(7-(WEEKDAY((DATE(A514,B514,1)))-4))+(DATE(A514,B514,1)),4-WEEKDAY((DATE(A514,B514,1)))+(DATE(A514,B514,1)))+7</f>
        <v>48647</v>
      </c>
      <c r="E514" s="37">
        <f t="shared" si="374"/>
        <v>48647</v>
      </c>
      <c r="F514" s="14" t="str">
        <f t="shared" si="375"/>
        <v/>
      </c>
    </row>
    <row r="515" spans="1:6" ht="13.9" customHeight="1" x14ac:dyDescent="0.15">
      <c r="A515" s="10">
        <v>2033</v>
      </c>
      <c r="B515" s="10">
        <f t="shared" si="361"/>
        <v>3</v>
      </c>
      <c r="C515" s="67">
        <f t="shared" si="377"/>
        <v>48639</v>
      </c>
      <c r="D515" s="38">
        <f t="shared" ref="D515" si="383">IF(WEEKDAY(DATE(A515,B515,1))&gt;3,(7-(WEEKDAY(DATE(A515,B515,1))-3))+DATE(A515,B515,1),3-WEEKDAY(DATE(A515,B515,1))+DATE(A515,B515,1))+14</f>
        <v>48653</v>
      </c>
      <c r="E515" s="37">
        <f t="shared" si="374"/>
        <v>48653</v>
      </c>
      <c r="F515" s="14" t="str">
        <f t="shared" si="375"/>
        <v/>
      </c>
    </row>
    <row r="516" spans="1:6" ht="13.9" customHeight="1" x14ac:dyDescent="0.15">
      <c r="A516" s="10">
        <v>2033</v>
      </c>
      <c r="B516" s="10">
        <f t="shared" si="361"/>
        <v>3</v>
      </c>
      <c r="C516" s="67">
        <f t="shared" si="377"/>
        <v>48639</v>
      </c>
      <c r="D516" s="36">
        <f t="shared" ref="D516" si="384">IF(WEEKDAY((DATE(A514,B514,1)))&gt;4,(7-(WEEKDAY((DATE(A514,B514,1)))-4))+(DATE(A514,B514,1)),4-WEEKDAY((DATE(A514,B514,1)))+(DATE(A514,B514,1)))+21</f>
        <v>48661</v>
      </c>
      <c r="E516" s="37">
        <f t="shared" si="374"/>
        <v>48661</v>
      </c>
      <c r="F516" s="14" t="str">
        <f t="shared" si="375"/>
        <v/>
      </c>
    </row>
    <row r="517" spans="1:6" ht="13.9" customHeight="1" x14ac:dyDescent="0.15">
      <c r="A517" s="10">
        <v>2033</v>
      </c>
      <c r="B517" s="10">
        <f t="shared" si="361"/>
        <v>4</v>
      </c>
      <c r="C517" s="67">
        <f t="shared" si="377"/>
        <v>48670</v>
      </c>
      <c r="D517" s="36">
        <f t="shared" ref="D517" si="385">IF(WEEKDAY((DATE(A517,B517,1)))&gt;4,(7-(WEEKDAY((DATE(A517,B517,1)))-4))+(DATE(A517,B517,1)),4-WEEKDAY((DATE(A517,B517,1)))+(DATE(A517,B517,1)))+7</f>
        <v>48682</v>
      </c>
      <c r="E517" s="37">
        <f t="shared" si="374"/>
        <v>48682</v>
      </c>
      <c r="F517" s="14" t="str">
        <f t="shared" si="375"/>
        <v/>
      </c>
    </row>
    <row r="518" spans="1:6" ht="13.9" customHeight="1" x14ac:dyDescent="0.15">
      <c r="A518" s="10">
        <v>2033</v>
      </c>
      <c r="B518" s="10">
        <f t="shared" si="361"/>
        <v>4</v>
      </c>
      <c r="C518" s="67">
        <f t="shared" si="377"/>
        <v>48670</v>
      </c>
      <c r="D518" s="38">
        <f t="shared" ref="D518" si="386">IF(WEEKDAY(DATE(A518,B518,1))&gt;3,(7-(WEEKDAY(DATE(A518,B518,1))-3))+DATE(A518,B518,1),3-WEEKDAY(DATE(A518,B518,1))+DATE(A518,B518,1))+14</f>
        <v>48688</v>
      </c>
      <c r="E518" s="37">
        <f t="shared" si="374"/>
        <v>48688</v>
      </c>
      <c r="F518" s="14" t="str">
        <f t="shared" si="375"/>
        <v/>
      </c>
    </row>
    <row r="519" spans="1:6" ht="13.9" customHeight="1" x14ac:dyDescent="0.15">
      <c r="A519" s="10">
        <v>2033</v>
      </c>
      <c r="B519" s="10">
        <f t="shared" si="361"/>
        <v>4</v>
      </c>
      <c r="C519" s="67">
        <f t="shared" si="377"/>
        <v>48670</v>
      </c>
      <c r="D519" s="36">
        <f t="shared" ref="D519" si="387">IF(WEEKDAY((DATE(A517,B517,1)))&gt;4,(7-(WEEKDAY((DATE(A517,B517,1)))-4))+(DATE(A517,B517,1)),4-WEEKDAY((DATE(A517,B517,1)))+(DATE(A517,B517,1)))+21</f>
        <v>48696</v>
      </c>
      <c r="E519" s="37">
        <f t="shared" si="374"/>
        <v>48696</v>
      </c>
      <c r="F519" s="14" t="str">
        <f t="shared" si="375"/>
        <v/>
      </c>
    </row>
    <row r="520" spans="1:6" ht="13.9" customHeight="1" x14ac:dyDescent="0.15">
      <c r="A520" s="10">
        <v>2033</v>
      </c>
      <c r="B520" s="10">
        <f t="shared" si="361"/>
        <v>5</v>
      </c>
      <c r="C520" s="67">
        <f t="shared" si="377"/>
        <v>48700</v>
      </c>
      <c r="D520" s="36">
        <f t="shared" ref="D520" si="388">IF(WEEKDAY((DATE(A520,B520,1)))&gt;4,(7-(WEEKDAY((DATE(A520,B520,1)))-4))+(DATE(A520,B520,1)),4-WEEKDAY((DATE(A520,B520,1)))+(DATE(A520,B520,1)))+7</f>
        <v>48710</v>
      </c>
      <c r="E520" s="37">
        <f t="shared" si="374"/>
        <v>48710</v>
      </c>
      <c r="F520" s="14" t="str">
        <f t="shared" si="375"/>
        <v/>
      </c>
    </row>
    <row r="521" spans="1:6" ht="13.9" customHeight="1" x14ac:dyDescent="0.15">
      <c r="A521" s="10">
        <v>2033</v>
      </c>
      <c r="B521" s="10">
        <f t="shared" si="361"/>
        <v>5</v>
      </c>
      <c r="C521" s="67">
        <f t="shared" si="377"/>
        <v>48700</v>
      </c>
      <c r="D521" s="38">
        <f t="shared" ref="D521" si="389">IF(WEEKDAY(DATE(A521,B521,1))&gt;3,(7-(WEEKDAY(DATE(A521,B521,1))-3))+DATE(A521,B521,1),3-WEEKDAY(DATE(A521,B521,1))+DATE(A521,B521,1))+14</f>
        <v>48716</v>
      </c>
      <c r="E521" s="37">
        <f t="shared" si="374"/>
        <v>48716</v>
      </c>
      <c r="F521" s="14" t="str">
        <f t="shared" si="375"/>
        <v/>
      </c>
    </row>
    <row r="522" spans="1:6" ht="13.9" customHeight="1" x14ac:dyDescent="0.15">
      <c r="A522" s="10">
        <v>2033</v>
      </c>
      <c r="B522" s="10">
        <f t="shared" si="361"/>
        <v>5</v>
      </c>
      <c r="C522" s="67">
        <f t="shared" si="377"/>
        <v>48700</v>
      </c>
      <c r="D522" s="36">
        <f t="shared" ref="D522" si="390">IF(WEEKDAY((DATE(A520,B520,1)))&gt;4,(7-(WEEKDAY((DATE(A520,B520,1)))-4))+(DATE(A520,B520,1)),4-WEEKDAY((DATE(A520,B520,1)))+(DATE(A520,B520,1)))+21</f>
        <v>48724</v>
      </c>
      <c r="E522" s="37">
        <f t="shared" si="374"/>
        <v>48724</v>
      </c>
      <c r="F522" s="14" t="str">
        <f t="shared" si="375"/>
        <v/>
      </c>
    </row>
    <row r="523" spans="1:6" ht="13.9" customHeight="1" x14ac:dyDescent="0.15">
      <c r="A523" s="10">
        <v>2033</v>
      </c>
      <c r="B523" s="10">
        <f t="shared" si="361"/>
        <v>6</v>
      </c>
      <c r="C523" s="67">
        <f t="shared" si="377"/>
        <v>48731</v>
      </c>
      <c r="D523" s="36">
        <f t="shared" ref="D523" si="391">IF(WEEKDAY((DATE(A523,B523,1)))&gt;4,(7-(WEEKDAY((DATE(A523,B523,1)))-4))+(DATE(A523,B523,1)),4-WEEKDAY((DATE(A523,B523,1)))+(DATE(A523,B523,1)))+7</f>
        <v>48738</v>
      </c>
      <c r="E523" s="37">
        <f t="shared" si="374"/>
        <v>48738</v>
      </c>
      <c r="F523" s="14" t="str">
        <f t="shared" si="375"/>
        <v/>
      </c>
    </row>
    <row r="524" spans="1:6" ht="13.9" customHeight="1" x14ac:dyDescent="0.15">
      <c r="A524" s="10">
        <v>2033</v>
      </c>
      <c r="B524" s="10">
        <f t="shared" si="361"/>
        <v>6</v>
      </c>
      <c r="C524" s="67">
        <f t="shared" si="377"/>
        <v>48731</v>
      </c>
      <c r="D524" s="38">
        <f t="shared" ref="D524" si="392">IF(WEEKDAY(DATE(A524,B524,1))&gt;3,(7-(WEEKDAY(DATE(A524,B524,1))-3))+DATE(A524,B524,1),3-WEEKDAY(DATE(A524,B524,1))+DATE(A524,B524,1))+14</f>
        <v>48751</v>
      </c>
      <c r="E524" s="37">
        <f t="shared" si="374"/>
        <v>48751</v>
      </c>
      <c r="F524" s="14" t="str">
        <f t="shared" si="375"/>
        <v/>
      </c>
    </row>
    <row r="525" spans="1:6" ht="13.9" customHeight="1" x14ac:dyDescent="0.15">
      <c r="A525" s="10">
        <v>2033</v>
      </c>
      <c r="B525" s="10">
        <f t="shared" si="361"/>
        <v>6</v>
      </c>
      <c r="C525" s="67">
        <f t="shared" si="377"/>
        <v>48731</v>
      </c>
      <c r="D525" s="36">
        <f t="shared" ref="D525" si="393">IF(WEEKDAY((DATE(A523,B523,1)))&gt;4,(7-(WEEKDAY((DATE(A523,B523,1)))-4))+(DATE(A523,B523,1)),4-WEEKDAY((DATE(A523,B523,1)))+(DATE(A523,B523,1)))+21</f>
        <v>48752</v>
      </c>
      <c r="E525" s="37">
        <f t="shared" si="374"/>
        <v>48752</v>
      </c>
      <c r="F525" s="14" t="str">
        <f t="shared" si="375"/>
        <v/>
      </c>
    </row>
    <row r="526" spans="1:6" ht="13.9" customHeight="1" x14ac:dyDescent="0.15">
      <c r="A526" s="10">
        <v>2033</v>
      </c>
      <c r="B526" s="10">
        <f t="shared" si="361"/>
        <v>7</v>
      </c>
      <c r="C526" s="67">
        <f t="shared" si="377"/>
        <v>48761</v>
      </c>
      <c r="D526" s="36">
        <f t="shared" ref="D526" si="394">IF(WEEKDAY((DATE(A526,B526,1)))&gt;4,(7-(WEEKDAY((DATE(A526,B526,1)))-4))+(DATE(A526,B526,1)),4-WEEKDAY((DATE(A526,B526,1)))+(DATE(A526,B526,1)))+7</f>
        <v>48773</v>
      </c>
      <c r="E526" s="37">
        <f t="shared" si="374"/>
        <v>48773</v>
      </c>
      <c r="F526" s="14" t="str">
        <f t="shared" si="375"/>
        <v/>
      </c>
    </row>
    <row r="527" spans="1:6" ht="13.9" customHeight="1" x14ac:dyDescent="0.15">
      <c r="A527" s="10">
        <v>2033</v>
      </c>
      <c r="B527" s="10">
        <f t="shared" si="361"/>
        <v>7</v>
      </c>
      <c r="C527" s="67">
        <f t="shared" si="377"/>
        <v>48761</v>
      </c>
      <c r="D527" s="38">
        <f t="shared" ref="D527" si="395">IF(WEEKDAY(DATE(A527,B527,1))&gt;3,(7-(WEEKDAY(DATE(A527,B527,1))-3))+DATE(A527,B527,1),3-WEEKDAY(DATE(A527,B527,1))+DATE(A527,B527,1))+14</f>
        <v>48779</v>
      </c>
      <c r="E527" s="37">
        <f t="shared" si="374"/>
        <v>48779</v>
      </c>
      <c r="F527" s="14" t="str">
        <f t="shared" si="375"/>
        <v/>
      </c>
    </row>
    <row r="528" spans="1:6" ht="13.9" customHeight="1" x14ac:dyDescent="0.15">
      <c r="A528" s="10">
        <v>2033</v>
      </c>
      <c r="B528" s="10">
        <f t="shared" si="361"/>
        <v>7</v>
      </c>
      <c r="C528" s="67">
        <f t="shared" si="377"/>
        <v>48761</v>
      </c>
      <c r="D528" s="36">
        <f t="shared" ref="D528" si="396">IF(WEEKDAY((DATE(A526,B526,1)))&gt;4,(7-(WEEKDAY((DATE(A526,B526,1)))-4))+(DATE(A526,B526,1)),4-WEEKDAY((DATE(A526,B526,1)))+(DATE(A526,B526,1)))+21</f>
        <v>48787</v>
      </c>
      <c r="E528" s="37">
        <f t="shared" si="374"/>
        <v>48787</v>
      </c>
      <c r="F528" s="14" t="str">
        <f t="shared" si="375"/>
        <v/>
      </c>
    </row>
    <row r="529" spans="1:6" ht="13.9" customHeight="1" x14ac:dyDescent="0.15">
      <c r="A529" s="10">
        <v>2033</v>
      </c>
      <c r="B529" s="10">
        <f t="shared" si="361"/>
        <v>8</v>
      </c>
      <c r="C529" s="67">
        <f t="shared" si="377"/>
        <v>48792</v>
      </c>
      <c r="D529" s="36">
        <f t="shared" ref="D529" si="397">IF(WEEKDAY((DATE(A529,B529,1)))&gt;4,(7-(WEEKDAY((DATE(A529,B529,1)))-4))+(DATE(A529,B529,1)),4-WEEKDAY((DATE(A529,B529,1)))+(DATE(A529,B529,1)))+7</f>
        <v>48801</v>
      </c>
      <c r="E529" s="37">
        <f t="shared" si="374"/>
        <v>48801</v>
      </c>
      <c r="F529" s="14" t="str">
        <f t="shared" si="375"/>
        <v/>
      </c>
    </row>
    <row r="530" spans="1:6" ht="13.9" customHeight="1" x14ac:dyDescent="0.15">
      <c r="A530" s="10">
        <v>2033</v>
      </c>
      <c r="B530" s="10">
        <f t="shared" si="361"/>
        <v>8</v>
      </c>
      <c r="C530" s="67">
        <f t="shared" si="377"/>
        <v>48792</v>
      </c>
      <c r="D530" s="38">
        <f t="shared" ref="D530" si="398">IF(WEEKDAY(DATE(A530,B530,1))&gt;3,(7-(WEEKDAY(DATE(A530,B530,1))-3))+DATE(A530,B530,1),3-WEEKDAY(DATE(A530,B530,1))+DATE(A530,B530,1))+14</f>
        <v>48807</v>
      </c>
      <c r="E530" s="37">
        <f t="shared" si="374"/>
        <v>48807</v>
      </c>
      <c r="F530" s="14" t="str">
        <f t="shared" si="375"/>
        <v/>
      </c>
    </row>
    <row r="531" spans="1:6" ht="13.9" customHeight="1" x14ac:dyDescent="0.15">
      <c r="A531" s="10">
        <v>2033</v>
      </c>
      <c r="B531" s="10">
        <f t="shared" si="361"/>
        <v>8</v>
      </c>
      <c r="C531" s="67">
        <f t="shared" si="377"/>
        <v>48792</v>
      </c>
      <c r="D531" s="36">
        <f t="shared" ref="D531" si="399">IF(WEEKDAY((DATE(A529,B529,1)))&gt;4,(7-(WEEKDAY((DATE(A529,B529,1)))-4))+(DATE(A529,B529,1)),4-WEEKDAY((DATE(A529,B529,1)))+(DATE(A529,B529,1)))+21</f>
        <v>48815</v>
      </c>
      <c r="E531" s="37">
        <f t="shared" si="374"/>
        <v>48815</v>
      </c>
      <c r="F531" s="14" t="str">
        <f t="shared" si="375"/>
        <v/>
      </c>
    </row>
    <row r="532" spans="1:6" ht="13.9" customHeight="1" x14ac:dyDescent="0.15">
      <c r="A532" s="10">
        <v>2033</v>
      </c>
      <c r="B532" s="10">
        <f t="shared" si="361"/>
        <v>9</v>
      </c>
      <c r="C532" s="67">
        <f t="shared" si="377"/>
        <v>48823</v>
      </c>
      <c r="D532" s="36">
        <f t="shared" ref="D532" si="400">IF(WEEKDAY((DATE(A532,B532,1)))&gt;4,(7-(WEEKDAY((DATE(A532,B532,1)))-4))+(DATE(A532,B532,1)),4-WEEKDAY((DATE(A532,B532,1)))+(DATE(A532,B532,1)))+7</f>
        <v>48836</v>
      </c>
      <c r="E532" s="37">
        <f t="shared" si="374"/>
        <v>48836</v>
      </c>
      <c r="F532" s="14" t="str">
        <f t="shared" si="375"/>
        <v/>
      </c>
    </row>
    <row r="533" spans="1:6" ht="13.9" customHeight="1" x14ac:dyDescent="0.15">
      <c r="A533" s="10">
        <v>2033</v>
      </c>
      <c r="B533" s="10">
        <f t="shared" si="361"/>
        <v>9</v>
      </c>
      <c r="C533" s="67">
        <f t="shared" si="377"/>
        <v>48823</v>
      </c>
      <c r="D533" s="38">
        <f t="shared" ref="D533" si="401">IF(WEEKDAY(DATE(A533,B533,1))&gt;3,(7-(WEEKDAY(DATE(A533,B533,1))-3))+DATE(A533,B533,1),3-WEEKDAY(DATE(A533,B533,1))+DATE(A533,B533,1))+14</f>
        <v>48842</v>
      </c>
      <c r="E533" s="37">
        <f t="shared" si="374"/>
        <v>48842</v>
      </c>
      <c r="F533" s="14" t="str">
        <f t="shared" si="375"/>
        <v/>
      </c>
    </row>
    <row r="534" spans="1:6" ht="13.9" customHeight="1" x14ac:dyDescent="0.15">
      <c r="A534" s="10">
        <v>2033</v>
      </c>
      <c r="B534" s="10">
        <f t="shared" si="361"/>
        <v>9</v>
      </c>
      <c r="C534" s="67">
        <f t="shared" si="377"/>
        <v>48823</v>
      </c>
      <c r="D534" s="36">
        <f t="shared" ref="D534" si="402">IF(WEEKDAY((DATE(A532,B532,1)))&gt;4,(7-(WEEKDAY((DATE(A532,B532,1)))-4))+(DATE(A532,B532,1)),4-WEEKDAY((DATE(A532,B532,1)))+(DATE(A532,B532,1)))+21</f>
        <v>48850</v>
      </c>
      <c r="E534" s="37">
        <f t="shared" si="374"/>
        <v>48850</v>
      </c>
      <c r="F534" s="14" t="str">
        <f t="shared" si="375"/>
        <v/>
      </c>
    </row>
    <row r="535" spans="1:6" ht="13.9" customHeight="1" x14ac:dyDescent="0.15">
      <c r="A535" s="10">
        <v>2033</v>
      </c>
      <c r="B535" s="10">
        <f t="shared" si="361"/>
        <v>10</v>
      </c>
      <c r="C535" s="67">
        <f t="shared" si="377"/>
        <v>48853</v>
      </c>
      <c r="D535" s="36">
        <f t="shared" ref="D535" si="403">IF(WEEKDAY((DATE(A535,B535,1)))&gt;4,(7-(WEEKDAY((DATE(A535,B535,1)))-4))+(DATE(A535,B535,1)),4-WEEKDAY((DATE(A535,B535,1)))+(DATE(A535,B535,1)))+7</f>
        <v>48864</v>
      </c>
      <c r="E535" s="37">
        <f t="shared" si="374"/>
        <v>48864</v>
      </c>
      <c r="F535" s="14" t="str">
        <f t="shared" si="375"/>
        <v/>
      </c>
    </row>
    <row r="536" spans="1:6" ht="13.9" customHeight="1" x14ac:dyDescent="0.15">
      <c r="A536" s="10">
        <v>2033</v>
      </c>
      <c r="B536" s="10">
        <f t="shared" si="361"/>
        <v>10</v>
      </c>
      <c r="C536" s="67">
        <f t="shared" si="377"/>
        <v>48853</v>
      </c>
      <c r="D536" s="38">
        <f t="shared" ref="D536" si="404">IF(WEEKDAY(DATE(A536,B536,1))&gt;3,(7-(WEEKDAY(DATE(A536,B536,1))-3))+DATE(A536,B536,1),3-WEEKDAY(DATE(A536,B536,1))+DATE(A536,B536,1))+14</f>
        <v>48870</v>
      </c>
      <c r="E536" s="37">
        <f t="shared" si="374"/>
        <v>48870</v>
      </c>
      <c r="F536" s="14" t="str">
        <f t="shared" si="375"/>
        <v/>
      </c>
    </row>
    <row r="537" spans="1:6" ht="13.9" customHeight="1" x14ac:dyDescent="0.15">
      <c r="A537" s="10">
        <v>2033</v>
      </c>
      <c r="B537" s="10">
        <f t="shared" si="361"/>
        <v>10</v>
      </c>
      <c r="C537" s="67">
        <f t="shared" si="377"/>
        <v>48853</v>
      </c>
      <c r="D537" s="36">
        <f t="shared" ref="D537" si="405">IF(WEEKDAY((DATE(A535,B535,1)))&gt;4,(7-(WEEKDAY((DATE(A535,B535,1)))-4))+(DATE(A535,B535,1)),4-WEEKDAY((DATE(A535,B535,1)))+(DATE(A535,B535,1)))+21</f>
        <v>48878</v>
      </c>
      <c r="E537" s="37">
        <f t="shared" si="374"/>
        <v>48878</v>
      </c>
      <c r="F537" s="14" t="str">
        <f t="shared" si="375"/>
        <v/>
      </c>
    </row>
    <row r="538" spans="1:6" ht="13.9" customHeight="1" x14ac:dyDescent="0.15">
      <c r="A538" s="10">
        <v>2033</v>
      </c>
      <c r="B538" s="10">
        <f t="shared" si="361"/>
        <v>11</v>
      </c>
      <c r="C538" s="67">
        <f t="shared" si="377"/>
        <v>48884</v>
      </c>
      <c r="D538" s="36">
        <f t="shared" ref="D538" si="406">IF(WEEKDAY((DATE(A538,B538,1)))&gt;4,(7-(WEEKDAY((DATE(A538,B538,1)))-4))+(DATE(A538,B538,1)),4-WEEKDAY((DATE(A538,B538,1)))+(DATE(A538,B538,1)))+7</f>
        <v>48892</v>
      </c>
      <c r="E538" s="37">
        <f t="shared" si="374"/>
        <v>48892</v>
      </c>
      <c r="F538" s="14" t="str">
        <f t="shared" si="375"/>
        <v/>
      </c>
    </row>
    <row r="539" spans="1:6" ht="13.9" customHeight="1" x14ac:dyDescent="0.15">
      <c r="A539" s="10">
        <v>2033</v>
      </c>
      <c r="B539" s="10">
        <f t="shared" si="361"/>
        <v>11</v>
      </c>
      <c r="C539" s="67">
        <f t="shared" si="377"/>
        <v>48884</v>
      </c>
      <c r="D539" s="38">
        <f t="shared" ref="D539" si="407">IF(WEEKDAY(DATE(A539,B539,1))&gt;3,(7-(WEEKDAY(DATE(A539,B539,1))-3))+DATE(A539,B539,1),3-WEEKDAY(DATE(A539,B539,1))+DATE(A539,B539,1))+14</f>
        <v>48898</v>
      </c>
      <c r="E539" s="37">
        <f t="shared" si="374"/>
        <v>48898</v>
      </c>
      <c r="F539" s="14" t="str">
        <f t="shared" si="375"/>
        <v/>
      </c>
    </row>
    <row r="540" spans="1:6" ht="13.9" customHeight="1" x14ac:dyDescent="0.15">
      <c r="A540" s="10">
        <v>2033</v>
      </c>
      <c r="B540" s="10">
        <f t="shared" si="361"/>
        <v>11</v>
      </c>
      <c r="C540" s="67">
        <f t="shared" si="377"/>
        <v>48884</v>
      </c>
      <c r="D540" s="36">
        <f t="shared" ref="D540" si="408">IF(WEEKDAY((DATE(A538,B538,1)))&gt;4,(7-(WEEKDAY((DATE(A538,B538,1)))-4))+(DATE(A538,B538,1)),4-WEEKDAY((DATE(A538,B538,1)))+(DATE(A538,B538,1)))+21</f>
        <v>48906</v>
      </c>
      <c r="E540" s="37">
        <f t="shared" si="374"/>
        <v>48906</v>
      </c>
      <c r="F540" s="14" t="str">
        <f t="shared" si="375"/>
        <v/>
      </c>
    </row>
    <row r="541" spans="1:6" ht="13.9" customHeight="1" x14ac:dyDescent="0.15">
      <c r="A541" s="10">
        <v>2033</v>
      </c>
      <c r="B541" s="10">
        <f t="shared" si="361"/>
        <v>12</v>
      </c>
      <c r="C541" s="67">
        <f t="shared" si="377"/>
        <v>48914</v>
      </c>
      <c r="D541" s="36">
        <f t="shared" ref="D541" si="409">IF(WEEKDAY((DATE(A541,B541,1)))&gt;4,(7-(WEEKDAY((DATE(A541,B541,1)))-4))+(DATE(A541,B541,1)),4-WEEKDAY((DATE(A541,B541,1)))+(DATE(A541,B541,1)))+7</f>
        <v>48927</v>
      </c>
      <c r="E541" s="37">
        <f t="shared" si="374"/>
        <v>48927</v>
      </c>
      <c r="F541" s="14" t="str">
        <f t="shared" si="375"/>
        <v/>
      </c>
    </row>
    <row r="542" spans="1:6" ht="13.9" customHeight="1" x14ac:dyDescent="0.15">
      <c r="A542" s="10">
        <v>2033</v>
      </c>
      <c r="B542" s="10">
        <f t="shared" si="361"/>
        <v>12</v>
      </c>
      <c r="C542" s="67">
        <f t="shared" si="377"/>
        <v>48914</v>
      </c>
      <c r="D542" s="38">
        <f t="shared" ref="D542" si="410">IF(WEEKDAY(DATE(A542,B542,1))&gt;3,(7-(WEEKDAY(DATE(A542,B542,1))-3))+DATE(A542,B542,1),3-WEEKDAY(DATE(A542,B542,1))+DATE(A542,B542,1))+14</f>
        <v>48933</v>
      </c>
      <c r="E542" s="37">
        <f t="shared" si="374"/>
        <v>48933</v>
      </c>
      <c r="F542" s="14" t="str">
        <f t="shared" si="375"/>
        <v/>
      </c>
    </row>
    <row r="543" spans="1:6" ht="13.9" customHeight="1" x14ac:dyDescent="0.15">
      <c r="A543" s="10">
        <v>2033</v>
      </c>
      <c r="B543" s="10">
        <f t="shared" si="361"/>
        <v>12</v>
      </c>
      <c r="C543" s="67">
        <f t="shared" si="377"/>
        <v>48914</v>
      </c>
      <c r="D543" s="36">
        <f t="shared" ref="D543" si="411">IF(WEEKDAY((DATE(A541,B541,1)))&gt;4,(7-(WEEKDAY((DATE(A541,B541,1)))-4))+(DATE(A541,B541,1)),4-WEEKDAY((DATE(A541,B541,1)))+(DATE(A541,B541,1)))+21</f>
        <v>48941</v>
      </c>
      <c r="E543" s="37">
        <f t="shared" si="374"/>
        <v>48941</v>
      </c>
      <c r="F543" s="14" t="str">
        <f t="shared" si="375"/>
        <v/>
      </c>
    </row>
    <row r="544" spans="1:6" ht="13.9" customHeight="1" x14ac:dyDescent="0.15">
      <c r="A544" s="10">
        <v>2034</v>
      </c>
      <c r="B544" s="10">
        <f t="shared" si="361"/>
        <v>1</v>
      </c>
      <c r="C544" s="67">
        <f t="shared" si="377"/>
        <v>48945</v>
      </c>
      <c r="D544" s="36">
        <f t="shared" ref="D544" si="412">IF(WEEKDAY((DATE(A544,B544,1)))&gt;4,(7-(WEEKDAY((DATE(A544,B544,1)))-4))+(DATE(A544,B544,1)),4-WEEKDAY((DATE(A544,B544,1)))+(DATE(A544,B544,1)))+7</f>
        <v>48955</v>
      </c>
      <c r="E544" s="37">
        <f t="shared" si="374"/>
        <v>48955</v>
      </c>
      <c r="F544" s="14" t="str">
        <f t="shared" si="375"/>
        <v/>
      </c>
    </row>
    <row r="545" spans="1:6" ht="13.9" customHeight="1" x14ac:dyDescent="0.15">
      <c r="A545" s="10">
        <v>2034</v>
      </c>
      <c r="B545" s="10">
        <f t="shared" si="361"/>
        <v>1</v>
      </c>
      <c r="C545" s="67">
        <f t="shared" si="377"/>
        <v>48945</v>
      </c>
      <c r="D545" s="38">
        <f t="shared" ref="D545" si="413">IF(WEEKDAY(DATE(A545,B545,1))&gt;3,(7-(WEEKDAY(DATE(A545,B545,1))-3))+DATE(A545,B545,1),3-WEEKDAY(DATE(A545,B545,1))+DATE(A545,B545,1))+14</f>
        <v>48961</v>
      </c>
      <c r="E545" s="37">
        <f t="shared" si="374"/>
        <v>48961</v>
      </c>
      <c r="F545" s="14" t="str">
        <f t="shared" si="375"/>
        <v/>
      </c>
    </row>
    <row r="546" spans="1:6" ht="13.9" customHeight="1" x14ac:dyDescent="0.15">
      <c r="A546" s="10">
        <v>2034</v>
      </c>
      <c r="B546" s="10">
        <f t="shared" si="361"/>
        <v>1</v>
      </c>
      <c r="C546" s="67">
        <f t="shared" si="377"/>
        <v>48945</v>
      </c>
      <c r="D546" s="36">
        <f t="shared" ref="D546" si="414">IF(WEEKDAY((DATE(A544,B544,1)))&gt;4,(7-(WEEKDAY((DATE(A544,B544,1)))-4))+(DATE(A544,B544,1)),4-WEEKDAY((DATE(A544,B544,1)))+(DATE(A544,B544,1)))+21</f>
        <v>48969</v>
      </c>
      <c r="E546" s="37">
        <f t="shared" si="374"/>
        <v>48969</v>
      </c>
      <c r="F546" s="14" t="str">
        <f t="shared" si="375"/>
        <v/>
      </c>
    </row>
    <row r="547" spans="1:6" ht="13.9" customHeight="1" x14ac:dyDescent="0.15">
      <c r="A547" s="10">
        <v>2034</v>
      </c>
      <c r="B547" s="10">
        <f t="shared" si="361"/>
        <v>2</v>
      </c>
      <c r="C547" s="67">
        <f t="shared" si="377"/>
        <v>48976</v>
      </c>
      <c r="D547" s="36">
        <f t="shared" ref="D547" si="415">IF(WEEKDAY((DATE(A547,B547,1)))&gt;4,(7-(WEEKDAY((DATE(A547,B547,1)))-4))+(DATE(A547,B547,1)),4-WEEKDAY((DATE(A547,B547,1)))+(DATE(A547,B547,1)))+7</f>
        <v>48983</v>
      </c>
      <c r="E547" s="37">
        <f t="shared" si="374"/>
        <v>48983</v>
      </c>
      <c r="F547" s="14" t="str">
        <f t="shared" si="375"/>
        <v/>
      </c>
    </row>
    <row r="548" spans="1:6" ht="13.9" customHeight="1" x14ac:dyDescent="0.15">
      <c r="A548" s="10">
        <v>2034</v>
      </c>
      <c r="B548" s="10">
        <f t="shared" si="361"/>
        <v>2</v>
      </c>
      <c r="C548" s="67">
        <f t="shared" si="377"/>
        <v>48976</v>
      </c>
      <c r="D548" s="38">
        <f t="shared" ref="D548" si="416">IF(WEEKDAY(DATE(A548,B548,1))&gt;3,(7-(WEEKDAY(DATE(A548,B548,1))-3))+DATE(A548,B548,1),3-WEEKDAY(DATE(A548,B548,1))+DATE(A548,B548,1))+14</f>
        <v>48996</v>
      </c>
      <c r="E548" s="37">
        <f t="shared" si="374"/>
        <v>48996</v>
      </c>
      <c r="F548" s="14" t="str">
        <f t="shared" si="375"/>
        <v/>
      </c>
    </row>
    <row r="549" spans="1:6" ht="13.9" customHeight="1" x14ac:dyDescent="0.15">
      <c r="A549" s="10">
        <v>2034</v>
      </c>
      <c r="B549" s="10">
        <f t="shared" si="361"/>
        <v>2</v>
      </c>
      <c r="C549" s="67">
        <f t="shared" si="377"/>
        <v>48976</v>
      </c>
      <c r="D549" s="36">
        <f t="shared" ref="D549" si="417">IF(WEEKDAY((DATE(A547,B547,1)))&gt;4,(7-(WEEKDAY((DATE(A547,B547,1)))-4))+(DATE(A547,B547,1)),4-WEEKDAY((DATE(A547,B547,1)))+(DATE(A547,B547,1)))+21</f>
        <v>48997</v>
      </c>
      <c r="E549" s="37">
        <f t="shared" si="374"/>
        <v>48997</v>
      </c>
      <c r="F549" s="14" t="str">
        <f t="shared" si="375"/>
        <v/>
      </c>
    </row>
    <row r="550" spans="1:6" ht="13.9" customHeight="1" x14ac:dyDescent="0.15">
      <c r="A550" s="10">
        <v>2034</v>
      </c>
      <c r="B550" s="10">
        <f t="shared" si="361"/>
        <v>3</v>
      </c>
      <c r="C550" s="67">
        <f t="shared" si="377"/>
        <v>49004</v>
      </c>
      <c r="D550" s="36">
        <f t="shared" ref="D550" si="418">IF(WEEKDAY((DATE(A550,B550,1)))&gt;4,(7-(WEEKDAY((DATE(A550,B550,1)))-4))+(DATE(A550,B550,1)),4-WEEKDAY((DATE(A550,B550,1)))+(DATE(A550,B550,1)))+7</f>
        <v>49011</v>
      </c>
      <c r="E550" s="37">
        <f t="shared" si="374"/>
        <v>49011</v>
      </c>
      <c r="F550" s="14" t="str">
        <f t="shared" si="375"/>
        <v/>
      </c>
    </row>
    <row r="551" spans="1:6" ht="13.9" customHeight="1" x14ac:dyDescent="0.15">
      <c r="A551" s="10">
        <v>2034</v>
      </c>
      <c r="B551" s="10">
        <f t="shared" si="361"/>
        <v>3</v>
      </c>
      <c r="C551" s="67">
        <f t="shared" si="377"/>
        <v>49004</v>
      </c>
      <c r="D551" s="38">
        <f t="shared" ref="D551" si="419">IF(WEEKDAY(DATE(A551,B551,1))&gt;3,(7-(WEEKDAY(DATE(A551,B551,1))-3))+DATE(A551,B551,1),3-WEEKDAY(DATE(A551,B551,1))+DATE(A551,B551,1))+14</f>
        <v>49024</v>
      </c>
      <c r="E551" s="37">
        <f t="shared" si="374"/>
        <v>49024</v>
      </c>
      <c r="F551" s="14" t="str">
        <f t="shared" si="375"/>
        <v/>
      </c>
    </row>
    <row r="552" spans="1:6" ht="13.9" customHeight="1" x14ac:dyDescent="0.15">
      <c r="A552" s="10">
        <v>2034</v>
      </c>
      <c r="B552" s="10">
        <f t="shared" si="361"/>
        <v>3</v>
      </c>
      <c r="C552" s="67">
        <f t="shared" si="377"/>
        <v>49004</v>
      </c>
      <c r="D552" s="36">
        <f t="shared" ref="D552" si="420">IF(WEEKDAY((DATE(A550,B550,1)))&gt;4,(7-(WEEKDAY((DATE(A550,B550,1)))-4))+(DATE(A550,B550,1)),4-WEEKDAY((DATE(A550,B550,1)))+(DATE(A550,B550,1)))+21</f>
        <v>49025</v>
      </c>
      <c r="E552" s="37">
        <f t="shared" si="374"/>
        <v>49025</v>
      </c>
      <c r="F552" s="14" t="str">
        <f t="shared" si="375"/>
        <v/>
      </c>
    </row>
    <row r="553" spans="1:6" ht="13.9" customHeight="1" x14ac:dyDescent="0.15">
      <c r="A553" s="10">
        <v>2034</v>
      </c>
      <c r="B553" s="10">
        <f t="shared" si="361"/>
        <v>4</v>
      </c>
      <c r="C553" s="67">
        <f t="shared" si="377"/>
        <v>49035</v>
      </c>
      <c r="D553" s="36">
        <f t="shared" ref="D553" si="421">IF(WEEKDAY((DATE(A553,B553,1)))&gt;4,(7-(WEEKDAY((DATE(A553,B553,1)))-4))+(DATE(A553,B553,1)),4-WEEKDAY((DATE(A553,B553,1)))+(DATE(A553,B553,1)))+7</f>
        <v>49046</v>
      </c>
      <c r="E553" s="37">
        <f t="shared" si="374"/>
        <v>49046</v>
      </c>
      <c r="F553" s="14" t="str">
        <f t="shared" si="375"/>
        <v/>
      </c>
    </row>
    <row r="554" spans="1:6" ht="13.9" customHeight="1" x14ac:dyDescent="0.15">
      <c r="A554" s="10">
        <v>2034</v>
      </c>
      <c r="B554" s="10">
        <f t="shared" si="361"/>
        <v>4</v>
      </c>
      <c r="C554" s="67">
        <f t="shared" si="377"/>
        <v>49035</v>
      </c>
      <c r="D554" s="38">
        <f t="shared" ref="D554" si="422">IF(WEEKDAY(DATE(A554,B554,1))&gt;3,(7-(WEEKDAY(DATE(A554,B554,1))-3))+DATE(A554,B554,1),3-WEEKDAY(DATE(A554,B554,1))+DATE(A554,B554,1))+14</f>
        <v>49052</v>
      </c>
      <c r="E554" s="37">
        <f t="shared" si="374"/>
        <v>49052</v>
      </c>
      <c r="F554" s="14" t="str">
        <f t="shared" si="375"/>
        <v/>
      </c>
    </row>
    <row r="555" spans="1:6" ht="13.9" customHeight="1" x14ac:dyDescent="0.15">
      <c r="A555" s="10">
        <v>2034</v>
      </c>
      <c r="B555" s="10">
        <f t="shared" si="361"/>
        <v>4</v>
      </c>
      <c r="C555" s="67">
        <f t="shared" si="377"/>
        <v>49035</v>
      </c>
      <c r="D555" s="36">
        <f t="shared" ref="D555" si="423">IF(WEEKDAY((DATE(A553,B553,1)))&gt;4,(7-(WEEKDAY((DATE(A553,B553,1)))-4))+(DATE(A553,B553,1)),4-WEEKDAY((DATE(A553,B553,1)))+(DATE(A553,B553,1)))+21</f>
        <v>49060</v>
      </c>
      <c r="E555" s="37">
        <f t="shared" si="374"/>
        <v>49060</v>
      </c>
      <c r="F555" s="14" t="str">
        <f t="shared" si="375"/>
        <v/>
      </c>
    </row>
    <row r="556" spans="1:6" ht="13.9" customHeight="1" x14ac:dyDescent="0.15">
      <c r="A556" s="10">
        <v>2034</v>
      </c>
      <c r="B556" s="10">
        <f t="shared" si="361"/>
        <v>5</v>
      </c>
      <c r="C556" s="67">
        <f t="shared" si="377"/>
        <v>49065</v>
      </c>
      <c r="D556" s="36">
        <f t="shared" ref="D556" si="424">IF(WEEKDAY((DATE(A556,B556,1)))&gt;4,(7-(WEEKDAY((DATE(A556,B556,1)))-4))+(DATE(A556,B556,1)),4-WEEKDAY((DATE(A556,B556,1)))+(DATE(A556,B556,1)))+7</f>
        <v>49074</v>
      </c>
      <c r="E556" s="37">
        <f t="shared" si="374"/>
        <v>49074</v>
      </c>
      <c r="F556" s="14" t="str">
        <f t="shared" si="375"/>
        <v/>
      </c>
    </row>
    <row r="557" spans="1:6" ht="13.9" customHeight="1" x14ac:dyDescent="0.15">
      <c r="A557" s="10">
        <v>2034</v>
      </c>
      <c r="B557" s="10">
        <f t="shared" si="361"/>
        <v>5</v>
      </c>
      <c r="C557" s="67">
        <f t="shared" si="377"/>
        <v>49065</v>
      </c>
      <c r="D557" s="38">
        <f t="shared" ref="D557" si="425">IF(WEEKDAY(DATE(A557,B557,1))&gt;3,(7-(WEEKDAY(DATE(A557,B557,1))-3))+DATE(A557,B557,1),3-WEEKDAY(DATE(A557,B557,1))+DATE(A557,B557,1))+14</f>
        <v>49080</v>
      </c>
      <c r="E557" s="37">
        <f t="shared" si="374"/>
        <v>49080</v>
      </c>
      <c r="F557" s="14" t="str">
        <f t="shared" si="375"/>
        <v/>
      </c>
    </row>
    <row r="558" spans="1:6" ht="13.9" customHeight="1" x14ac:dyDescent="0.15">
      <c r="A558" s="10">
        <v>2034</v>
      </c>
      <c r="B558" s="10">
        <f t="shared" si="361"/>
        <v>5</v>
      </c>
      <c r="C558" s="67">
        <f t="shared" si="377"/>
        <v>49065</v>
      </c>
      <c r="D558" s="36">
        <f t="shared" ref="D558" si="426">IF(WEEKDAY((DATE(A556,B556,1)))&gt;4,(7-(WEEKDAY((DATE(A556,B556,1)))-4))+(DATE(A556,B556,1)),4-WEEKDAY((DATE(A556,B556,1)))+(DATE(A556,B556,1)))+21</f>
        <v>49088</v>
      </c>
      <c r="E558" s="37">
        <f t="shared" si="374"/>
        <v>49088</v>
      </c>
      <c r="F558" s="14" t="str">
        <f t="shared" si="375"/>
        <v/>
      </c>
    </row>
    <row r="559" spans="1:6" ht="13.9" customHeight="1" x14ac:dyDescent="0.15">
      <c r="A559" s="10">
        <v>2034</v>
      </c>
      <c r="B559" s="10">
        <f t="shared" si="361"/>
        <v>6</v>
      </c>
      <c r="C559" s="67">
        <f t="shared" si="377"/>
        <v>49096</v>
      </c>
      <c r="D559" s="36">
        <f t="shared" ref="D559" si="427">IF(WEEKDAY((DATE(A559,B559,1)))&gt;4,(7-(WEEKDAY((DATE(A559,B559,1)))-4))+(DATE(A559,B559,1)),4-WEEKDAY((DATE(A559,B559,1)))+(DATE(A559,B559,1)))+7</f>
        <v>49109</v>
      </c>
      <c r="E559" s="37">
        <f t="shared" si="374"/>
        <v>49109</v>
      </c>
      <c r="F559" s="14" t="str">
        <f t="shared" si="375"/>
        <v/>
      </c>
    </row>
    <row r="560" spans="1:6" ht="13.9" customHeight="1" x14ac:dyDescent="0.15">
      <c r="A560" s="10">
        <v>2034</v>
      </c>
      <c r="B560" s="10">
        <f t="shared" si="361"/>
        <v>6</v>
      </c>
      <c r="C560" s="67">
        <f t="shared" si="377"/>
        <v>49096</v>
      </c>
      <c r="D560" s="38">
        <f t="shared" ref="D560" si="428">IF(WEEKDAY(DATE(A560,B560,1))&gt;3,(7-(WEEKDAY(DATE(A560,B560,1))-3))+DATE(A560,B560,1),3-WEEKDAY(DATE(A560,B560,1))+DATE(A560,B560,1))+14</f>
        <v>49115</v>
      </c>
      <c r="E560" s="37">
        <f t="shared" si="374"/>
        <v>49115</v>
      </c>
      <c r="F560" s="14" t="str">
        <f t="shared" si="375"/>
        <v/>
      </c>
    </row>
    <row r="561" spans="1:6" ht="13.9" customHeight="1" x14ac:dyDescent="0.15">
      <c r="A561" s="10">
        <v>2034</v>
      </c>
      <c r="B561" s="10">
        <f t="shared" ref="B561:B624" si="429">IF(B558+1&gt;12,B558+1-12,B558+1)</f>
        <v>6</v>
      </c>
      <c r="C561" s="67">
        <f t="shared" si="377"/>
        <v>49096</v>
      </c>
      <c r="D561" s="36">
        <f t="shared" ref="D561" si="430">IF(WEEKDAY((DATE(A559,B559,1)))&gt;4,(7-(WEEKDAY((DATE(A559,B559,1)))-4))+(DATE(A559,B559,1)),4-WEEKDAY((DATE(A559,B559,1)))+(DATE(A559,B559,1)))+21</f>
        <v>49123</v>
      </c>
      <c r="E561" s="37">
        <f t="shared" si="374"/>
        <v>49123</v>
      </c>
      <c r="F561" s="14" t="str">
        <f t="shared" si="375"/>
        <v/>
      </c>
    </row>
    <row r="562" spans="1:6" ht="13.9" customHeight="1" x14ac:dyDescent="0.15">
      <c r="A562" s="10">
        <v>2034</v>
      </c>
      <c r="B562" s="10">
        <f t="shared" si="429"/>
        <v>7</v>
      </c>
      <c r="C562" s="67">
        <f t="shared" si="377"/>
        <v>49126</v>
      </c>
      <c r="D562" s="36">
        <f t="shared" ref="D562" si="431">IF(WEEKDAY((DATE(A562,B562,1)))&gt;4,(7-(WEEKDAY((DATE(A562,B562,1)))-4))+(DATE(A562,B562,1)),4-WEEKDAY((DATE(A562,B562,1)))+(DATE(A562,B562,1)))+7</f>
        <v>49137</v>
      </c>
      <c r="E562" s="37">
        <f t="shared" si="374"/>
        <v>49137</v>
      </c>
      <c r="F562" s="14" t="str">
        <f t="shared" si="375"/>
        <v/>
      </c>
    </row>
    <row r="563" spans="1:6" ht="13.9" customHeight="1" x14ac:dyDescent="0.15">
      <c r="A563" s="10">
        <v>2034</v>
      </c>
      <c r="B563" s="10">
        <f t="shared" si="429"/>
        <v>7</v>
      </c>
      <c r="C563" s="67">
        <f t="shared" si="377"/>
        <v>49126</v>
      </c>
      <c r="D563" s="38">
        <f t="shared" ref="D563" si="432">IF(WEEKDAY(DATE(A563,B563,1))&gt;3,(7-(WEEKDAY(DATE(A563,B563,1))-3))+DATE(A563,B563,1),3-WEEKDAY(DATE(A563,B563,1))+DATE(A563,B563,1))+14</f>
        <v>49143</v>
      </c>
      <c r="E563" s="37">
        <f t="shared" si="374"/>
        <v>49143</v>
      </c>
      <c r="F563" s="14" t="str">
        <f t="shared" si="375"/>
        <v/>
      </c>
    </row>
    <row r="564" spans="1:6" ht="13.9" customHeight="1" x14ac:dyDescent="0.15">
      <c r="A564" s="10">
        <v>2034</v>
      </c>
      <c r="B564" s="10">
        <f t="shared" si="429"/>
        <v>7</v>
      </c>
      <c r="C564" s="67">
        <f t="shared" si="377"/>
        <v>49126</v>
      </c>
      <c r="D564" s="36">
        <f t="shared" ref="D564" si="433">IF(WEEKDAY((DATE(A562,B562,1)))&gt;4,(7-(WEEKDAY((DATE(A562,B562,1)))-4))+(DATE(A562,B562,1)),4-WEEKDAY((DATE(A562,B562,1)))+(DATE(A562,B562,1)))+21</f>
        <v>49151</v>
      </c>
      <c r="E564" s="37">
        <f t="shared" si="374"/>
        <v>49151</v>
      </c>
      <c r="F564" s="14" t="str">
        <f t="shared" si="375"/>
        <v/>
      </c>
    </row>
    <row r="565" spans="1:6" ht="13.9" customHeight="1" x14ac:dyDescent="0.15">
      <c r="A565" s="10">
        <v>2034</v>
      </c>
      <c r="B565" s="10">
        <f t="shared" si="429"/>
        <v>8</v>
      </c>
      <c r="C565" s="67">
        <f t="shared" si="377"/>
        <v>49157</v>
      </c>
      <c r="D565" s="36">
        <f t="shared" ref="D565" si="434">IF(WEEKDAY((DATE(A565,B565,1)))&gt;4,(7-(WEEKDAY((DATE(A565,B565,1)))-4))+(DATE(A565,B565,1)),4-WEEKDAY((DATE(A565,B565,1)))+(DATE(A565,B565,1)))+7</f>
        <v>49165</v>
      </c>
      <c r="E565" s="37">
        <f t="shared" si="374"/>
        <v>49165</v>
      </c>
      <c r="F565" s="14" t="str">
        <f t="shared" si="375"/>
        <v/>
      </c>
    </row>
    <row r="566" spans="1:6" ht="13.9" customHeight="1" x14ac:dyDescent="0.15">
      <c r="A566" s="10">
        <v>2034</v>
      </c>
      <c r="B566" s="10">
        <f t="shared" si="429"/>
        <v>8</v>
      </c>
      <c r="C566" s="67">
        <f t="shared" si="377"/>
        <v>49157</v>
      </c>
      <c r="D566" s="38">
        <f t="shared" ref="D566" si="435">IF(WEEKDAY(DATE(A566,B566,1))&gt;3,(7-(WEEKDAY(DATE(A566,B566,1))-3))+DATE(A566,B566,1),3-WEEKDAY(DATE(A566,B566,1))+DATE(A566,B566,1))+14</f>
        <v>49171</v>
      </c>
      <c r="E566" s="37">
        <f t="shared" si="374"/>
        <v>49171</v>
      </c>
      <c r="F566" s="14" t="str">
        <f t="shared" si="375"/>
        <v/>
      </c>
    </row>
    <row r="567" spans="1:6" ht="13.9" customHeight="1" x14ac:dyDescent="0.15">
      <c r="A567" s="10">
        <v>2034</v>
      </c>
      <c r="B567" s="10">
        <f t="shared" si="429"/>
        <v>8</v>
      </c>
      <c r="C567" s="67">
        <f t="shared" si="377"/>
        <v>49157</v>
      </c>
      <c r="D567" s="36">
        <f t="shared" ref="D567" si="436">IF(WEEKDAY((DATE(A565,B565,1)))&gt;4,(7-(WEEKDAY((DATE(A565,B565,1)))-4))+(DATE(A565,B565,1)),4-WEEKDAY((DATE(A565,B565,1)))+(DATE(A565,B565,1)))+21</f>
        <v>49179</v>
      </c>
      <c r="E567" s="37">
        <f t="shared" si="374"/>
        <v>49179</v>
      </c>
      <c r="F567" s="14" t="str">
        <f t="shared" si="375"/>
        <v/>
      </c>
    </row>
    <row r="568" spans="1:6" ht="13.9" customHeight="1" x14ac:dyDescent="0.15">
      <c r="A568" s="10">
        <v>2034</v>
      </c>
      <c r="B568" s="10">
        <f t="shared" si="429"/>
        <v>9</v>
      </c>
      <c r="C568" s="67">
        <f t="shared" si="377"/>
        <v>49188</v>
      </c>
      <c r="D568" s="36">
        <f t="shared" ref="D568" si="437">IF(WEEKDAY((DATE(A568,B568,1)))&gt;4,(7-(WEEKDAY((DATE(A568,B568,1)))-4))+(DATE(A568,B568,1)),4-WEEKDAY((DATE(A568,B568,1)))+(DATE(A568,B568,1)))+7</f>
        <v>49200</v>
      </c>
      <c r="E568" s="37">
        <f t="shared" si="374"/>
        <v>49200</v>
      </c>
      <c r="F568" s="14" t="str">
        <f t="shared" si="375"/>
        <v/>
      </c>
    </row>
    <row r="569" spans="1:6" ht="13.9" customHeight="1" x14ac:dyDescent="0.15">
      <c r="A569" s="10">
        <v>2034</v>
      </c>
      <c r="B569" s="10">
        <f t="shared" si="429"/>
        <v>9</v>
      </c>
      <c r="C569" s="67">
        <f t="shared" si="377"/>
        <v>49188</v>
      </c>
      <c r="D569" s="38">
        <f t="shared" ref="D569" si="438">IF(WEEKDAY(DATE(A569,B569,1))&gt;3,(7-(WEEKDAY(DATE(A569,B569,1))-3))+DATE(A569,B569,1),3-WEEKDAY(DATE(A569,B569,1))+DATE(A569,B569,1))+14</f>
        <v>49206</v>
      </c>
      <c r="E569" s="37">
        <f t="shared" si="374"/>
        <v>49206</v>
      </c>
      <c r="F569" s="14" t="str">
        <f t="shared" si="375"/>
        <v/>
      </c>
    </row>
    <row r="570" spans="1:6" ht="13.9" customHeight="1" x14ac:dyDescent="0.15">
      <c r="A570" s="10">
        <v>2034</v>
      </c>
      <c r="B570" s="10">
        <f t="shared" si="429"/>
        <v>9</v>
      </c>
      <c r="C570" s="67">
        <f t="shared" si="377"/>
        <v>49188</v>
      </c>
      <c r="D570" s="36">
        <f t="shared" ref="D570" si="439">IF(WEEKDAY((DATE(A568,B568,1)))&gt;4,(7-(WEEKDAY((DATE(A568,B568,1)))-4))+(DATE(A568,B568,1)),4-WEEKDAY((DATE(A568,B568,1)))+(DATE(A568,B568,1)))+21</f>
        <v>49214</v>
      </c>
      <c r="E570" s="37">
        <f t="shared" si="374"/>
        <v>49214</v>
      </c>
      <c r="F570" s="14" t="str">
        <f t="shared" si="375"/>
        <v/>
      </c>
    </row>
    <row r="571" spans="1:6" ht="13.9" customHeight="1" x14ac:dyDescent="0.15">
      <c r="A571" s="10">
        <v>2034</v>
      </c>
      <c r="B571" s="10">
        <f t="shared" si="429"/>
        <v>10</v>
      </c>
      <c r="C571" s="67">
        <f t="shared" si="377"/>
        <v>49218</v>
      </c>
      <c r="D571" s="36">
        <f t="shared" ref="D571" si="440">IF(WEEKDAY((DATE(A571,B571,1)))&gt;4,(7-(WEEKDAY((DATE(A571,B571,1)))-4))+(DATE(A571,B571,1)),4-WEEKDAY((DATE(A571,B571,1)))+(DATE(A571,B571,1)))+7</f>
        <v>49228</v>
      </c>
      <c r="E571" s="37">
        <f t="shared" si="374"/>
        <v>49228</v>
      </c>
      <c r="F571" s="14" t="str">
        <f t="shared" si="375"/>
        <v/>
      </c>
    </row>
    <row r="572" spans="1:6" ht="13.9" customHeight="1" x14ac:dyDescent="0.15">
      <c r="A572" s="10">
        <v>2034</v>
      </c>
      <c r="B572" s="10">
        <f t="shared" si="429"/>
        <v>10</v>
      </c>
      <c r="C572" s="67">
        <f t="shared" si="377"/>
        <v>49218</v>
      </c>
      <c r="D572" s="38">
        <f t="shared" ref="D572" si="441">IF(WEEKDAY(DATE(A572,B572,1))&gt;3,(7-(WEEKDAY(DATE(A572,B572,1))-3))+DATE(A572,B572,1),3-WEEKDAY(DATE(A572,B572,1))+DATE(A572,B572,1))+14</f>
        <v>49234</v>
      </c>
      <c r="E572" s="37">
        <f t="shared" ref="E572:E615" si="442">D572</f>
        <v>49234</v>
      </c>
      <c r="F572" s="14" t="str">
        <f t="shared" ref="F572:F615" si="443">IFERROR(INDEX($H$1:$AN$1,1,MATCH(1,H572:AN572)),"")</f>
        <v/>
      </c>
    </row>
    <row r="573" spans="1:6" ht="13.9" customHeight="1" x14ac:dyDescent="0.15">
      <c r="A573" s="10">
        <v>2034</v>
      </c>
      <c r="B573" s="10">
        <f t="shared" si="429"/>
        <v>10</v>
      </c>
      <c r="C573" s="67">
        <f t="shared" si="377"/>
        <v>49218</v>
      </c>
      <c r="D573" s="36">
        <f t="shared" ref="D573" si="444">IF(WEEKDAY((DATE(A571,B571,1)))&gt;4,(7-(WEEKDAY((DATE(A571,B571,1)))-4))+(DATE(A571,B571,1)),4-WEEKDAY((DATE(A571,B571,1)))+(DATE(A571,B571,1)))+21</f>
        <v>49242</v>
      </c>
      <c r="E573" s="37">
        <f t="shared" si="442"/>
        <v>49242</v>
      </c>
      <c r="F573" s="14" t="str">
        <f t="shared" si="443"/>
        <v/>
      </c>
    </row>
    <row r="574" spans="1:6" ht="13.9" customHeight="1" x14ac:dyDescent="0.15">
      <c r="A574" s="10">
        <v>2034</v>
      </c>
      <c r="B574" s="10">
        <f t="shared" si="429"/>
        <v>11</v>
      </c>
      <c r="C574" s="67">
        <f t="shared" ref="C574:C637" si="445">DATE(A574,B574,1)</f>
        <v>49249</v>
      </c>
      <c r="D574" s="36">
        <f t="shared" ref="D574" si="446">IF(WEEKDAY((DATE(A574,B574,1)))&gt;4,(7-(WEEKDAY((DATE(A574,B574,1)))-4))+(DATE(A574,B574,1)),4-WEEKDAY((DATE(A574,B574,1)))+(DATE(A574,B574,1)))+7</f>
        <v>49256</v>
      </c>
      <c r="E574" s="37">
        <f t="shared" si="442"/>
        <v>49256</v>
      </c>
      <c r="F574" s="14" t="str">
        <f t="shared" si="443"/>
        <v/>
      </c>
    </row>
    <row r="575" spans="1:6" ht="13.9" customHeight="1" x14ac:dyDescent="0.15">
      <c r="A575" s="10">
        <v>2034</v>
      </c>
      <c r="B575" s="10">
        <f t="shared" si="429"/>
        <v>11</v>
      </c>
      <c r="C575" s="67">
        <f t="shared" si="445"/>
        <v>49249</v>
      </c>
      <c r="D575" s="38">
        <f t="shared" ref="D575" si="447">IF(WEEKDAY(DATE(A575,B575,1))&gt;3,(7-(WEEKDAY(DATE(A575,B575,1))-3))+DATE(A575,B575,1),3-WEEKDAY(DATE(A575,B575,1))+DATE(A575,B575,1))+14</f>
        <v>49269</v>
      </c>
      <c r="E575" s="37">
        <f t="shared" si="442"/>
        <v>49269</v>
      </c>
      <c r="F575" s="14" t="str">
        <f t="shared" si="443"/>
        <v/>
      </c>
    </row>
    <row r="576" spans="1:6" ht="13.9" customHeight="1" x14ac:dyDescent="0.15">
      <c r="A576" s="10">
        <v>2034</v>
      </c>
      <c r="B576" s="10">
        <f t="shared" si="429"/>
        <v>11</v>
      </c>
      <c r="C576" s="67">
        <f t="shared" si="445"/>
        <v>49249</v>
      </c>
      <c r="D576" s="36">
        <f t="shared" ref="D576" si="448">IF(WEEKDAY((DATE(A574,B574,1)))&gt;4,(7-(WEEKDAY((DATE(A574,B574,1)))-4))+(DATE(A574,B574,1)),4-WEEKDAY((DATE(A574,B574,1)))+(DATE(A574,B574,1)))+21</f>
        <v>49270</v>
      </c>
      <c r="E576" s="37">
        <f t="shared" si="442"/>
        <v>49270</v>
      </c>
      <c r="F576" s="14" t="str">
        <f t="shared" si="443"/>
        <v/>
      </c>
    </row>
    <row r="577" spans="1:6" ht="13.9" customHeight="1" x14ac:dyDescent="0.15">
      <c r="A577" s="10">
        <v>2034</v>
      </c>
      <c r="B577" s="10">
        <f t="shared" si="429"/>
        <v>12</v>
      </c>
      <c r="C577" s="67">
        <f t="shared" si="445"/>
        <v>49279</v>
      </c>
      <c r="D577" s="36">
        <f t="shared" ref="D577" si="449">IF(WEEKDAY((DATE(A577,B577,1)))&gt;4,(7-(WEEKDAY((DATE(A577,B577,1)))-4))+(DATE(A577,B577,1)),4-WEEKDAY((DATE(A577,B577,1)))+(DATE(A577,B577,1)))+7</f>
        <v>49291</v>
      </c>
      <c r="E577" s="37">
        <f t="shared" si="442"/>
        <v>49291</v>
      </c>
      <c r="F577" s="14" t="str">
        <f t="shared" si="443"/>
        <v/>
      </c>
    </row>
    <row r="578" spans="1:6" ht="13.9" customHeight="1" x14ac:dyDescent="0.15">
      <c r="A578" s="10">
        <v>2034</v>
      </c>
      <c r="B578" s="10">
        <f t="shared" si="429"/>
        <v>12</v>
      </c>
      <c r="C578" s="67">
        <f t="shared" si="445"/>
        <v>49279</v>
      </c>
      <c r="D578" s="38">
        <f t="shared" ref="D578" si="450">IF(WEEKDAY(DATE(A578,B578,1))&gt;3,(7-(WEEKDAY(DATE(A578,B578,1))-3))+DATE(A578,B578,1),3-WEEKDAY(DATE(A578,B578,1))+DATE(A578,B578,1))+14</f>
        <v>49297</v>
      </c>
      <c r="E578" s="37">
        <f t="shared" si="442"/>
        <v>49297</v>
      </c>
      <c r="F578" s="14" t="str">
        <f t="shared" si="443"/>
        <v/>
      </c>
    </row>
    <row r="579" spans="1:6" ht="13.9" customHeight="1" x14ac:dyDescent="0.15">
      <c r="A579" s="10">
        <v>2034</v>
      </c>
      <c r="B579" s="10">
        <f t="shared" si="429"/>
        <v>12</v>
      </c>
      <c r="C579" s="67">
        <f t="shared" si="445"/>
        <v>49279</v>
      </c>
      <c r="D579" s="36">
        <f t="shared" ref="D579" si="451">IF(WEEKDAY((DATE(A577,B577,1)))&gt;4,(7-(WEEKDAY((DATE(A577,B577,1)))-4))+(DATE(A577,B577,1)),4-WEEKDAY((DATE(A577,B577,1)))+(DATE(A577,B577,1)))+21</f>
        <v>49305</v>
      </c>
      <c r="E579" s="37">
        <f t="shared" si="442"/>
        <v>49305</v>
      </c>
      <c r="F579" s="14" t="str">
        <f t="shared" si="443"/>
        <v/>
      </c>
    </row>
    <row r="580" spans="1:6" ht="13.9" customHeight="1" x14ac:dyDescent="0.15">
      <c r="A580" s="10">
        <v>2034</v>
      </c>
      <c r="B580" s="10">
        <f t="shared" si="429"/>
        <v>1</v>
      </c>
      <c r="C580" s="67">
        <f t="shared" si="445"/>
        <v>48945</v>
      </c>
      <c r="D580" s="36">
        <f t="shared" ref="D580" si="452">IF(WEEKDAY((DATE(A580,B580,1)))&gt;4,(7-(WEEKDAY((DATE(A580,B580,1)))-4))+(DATE(A580,B580,1)),4-WEEKDAY((DATE(A580,B580,1)))+(DATE(A580,B580,1)))+7</f>
        <v>48955</v>
      </c>
      <c r="E580" s="37">
        <f t="shared" si="442"/>
        <v>48955</v>
      </c>
      <c r="F580" s="14" t="str">
        <f t="shared" si="443"/>
        <v/>
      </c>
    </row>
    <row r="581" spans="1:6" ht="13.9" customHeight="1" x14ac:dyDescent="0.15">
      <c r="A581" s="10">
        <v>2034</v>
      </c>
      <c r="B581" s="10">
        <f t="shared" si="429"/>
        <v>1</v>
      </c>
      <c r="C581" s="67">
        <f t="shared" si="445"/>
        <v>48945</v>
      </c>
      <c r="D581" s="38">
        <f t="shared" ref="D581" si="453">IF(WEEKDAY(DATE(A581,B581,1))&gt;3,(7-(WEEKDAY(DATE(A581,B581,1))-3))+DATE(A581,B581,1),3-WEEKDAY(DATE(A581,B581,1))+DATE(A581,B581,1))+14</f>
        <v>48961</v>
      </c>
      <c r="E581" s="37">
        <f t="shared" si="442"/>
        <v>48961</v>
      </c>
      <c r="F581" s="14" t="str">
        <f t="shared" si="443"/>
        <v/>
      </c>
    </row>
    <row r="582" spans="1:6" ht="13.9" customHeight="1" x14ac:dyDescent="0.15">
      <c r="A582" s="10">
        <v>2034</v>
      </c>
      <c r="B582" s="10">
        <f t="shared" si="429"/>
        <v>1</v>
      </c>
      <c r="C582" s="67">
        <f t="shared" si="445"/>
        <v>48945</v>
      </c>
      <c r="D582" s="36">
        <f t="shared" ref="D582" si="454">IF(WEEKDAY((DATE(A580,B580,1)))&gt;4,(7-(WEEKDAY((DATE(A580,B580,1)))-4))+(DATE(A580,B580,1)),4-WEEKDAY((DATE(A580,B580,1)))+(DATE(A580,B580,1)))+21</f>
        <v>48969</v>
      </c>
      <c r="E582" s="37">
        <f t="shared" si="442"/>
        <v>48969</v>
      </c>
      <c r="F582" s="14" t="str">
        <f t="shared" si="443"/>
        <v/>
      </c>
    </row>
    <row r="583" spans="1:6" ht="13.9" customHeight="1" x14ac:dyDescent="0.15">
      <c r="A583" s="10">
        <v>2034</v>
      </c>
      <c r="B583" s="10">
        <f t="shared" si="429"/>
        <v>2</v>
      </c>
      <c r="C583" s="67">
        <f t="shared" si="445"/>
        <v>48976</v>
      </c>
      <c r="D583" s="36">
        <f t="shared" ref="D583" si="455">IF(WEEKDAY((DATE(A583,B583,1)))&gt;4,(7-(WEEKDAY((DATE(A583,B583,1)))-4))+(DATE(A583,B583,1)),4-WEEKDAY((DATE(A583,B583,1)))+(DATE(A583,B583,1)))+7</f>
        <v>48983</v>
      </c>
      <c r="E583" s="37">
        <f t="shared" si="442"/>
        <v>48983</v>
      </c>
      <c r="F583" s="14" t="str">
        <f t="shared" si="443"/>
        <v/>
      </c>
    </row>
    <row r="584" spans="1:6" ht="13.9" customHeight="1" x14ac:dyDescent="0.15">
      <c r="A584" s="10">
        <v>2034</v>
      </c>
      <c r="B584" s="10">
        <f t="shared" si="429"/>
        <v>2</v>
      </c>
      <c r="C584" s="67">
        <f t="shared" si="445"/>
        <v>48976</v>
      </c>
      <c r="D584" s="38">
        <f t="shared" ref="D584" si="456">IF(WEEKDAY(DATE(A584,B584,1))&gt;3,(7-(WEEKDAY(DATE(A584,B584,1))-3))+DATE(A584,B584,1),3-WEEKDAY(DATE(A584,B584,1))+DATE(A584,B584,1))+14</f>
        <v>48996</v>
      </c>
      <c r="E584" s="37">
        <f t="shared" si="442"/>
        <v>48996</v>
      </c>
      <c r="F584" s="14" t="str">
        <f t="shared" si="443"/>
        <v/>
      </c>
    </row>
    <row r="585" spans="1:6" ht="13.9" customHeight="1" x14ac:dyDescent="0.15">
      <c r="A585" s="10">
        <v>2034</v>
      </c>
      <c r="B585" s="10">
        <f t="shared" si="429"/>
        <v>2</v>
      </c>
      <c r="C585" s="67">
        <f t="shared" si="445"/>
        <v>48976</v>
      </c>
      <c r="D585" s="36">
        <f t="shared" ref="D585" si="457">IF(WEEKDAY((DATE(A583,B583,1)))&gt;4,(7-(WEEKDAY((DATE(A583,B583,1)))-4))+(DATE(A583,B583,1)),4-WEEKDAY((DATE(A583,B583,1)))+(DATE(A583,B583,1)))+21</f>
        <v>48997</v>
      </c>
      <c r="E585" s="37">
        <f t="shared" si="442"/>
        <v>48997</v>
      </c>
      <c r="F585" s="14" t="str">
        <f t="shared" si="443"/>
        <v/>
      </c>
    </row>
    <row r="586" spans="1:6" ht="13.9" customHeight="1" x14ac:dyDescent="0.15">
      <c r="A586" s="10">
        <v>2034</v>
      </c>
      <c r="B586" s="10">
        <f t="shared" si="429"/>
        <v>3</v>
      </c>
      <c r="C586" s="67">
        <f t="shared" si="445"/>
        <v>49004</v>
      </c>
      <c r="D586" s="36">
        <f t="shared" ref="D586" si="458">IF(WEEKDAY((DATE(A586,B586,1)))&gt;4,(7-(WEEKDAY((DATE(A586,B586,1)))-4))+(DATE(A586,B586,1)),4-WEEKDAY((DATE(A586,B586,1)))+(DATE(A586,B586,1)))+7</f>
        <v>49011</v>
      </c>
      <c r="E586" s="37">
        <f t="shared" si="442"/>
        <v>49011</v>
      </c>
      <c r="F586" s="14" t="str">
        <f t="shared" si="443"/>
        <v/>
      </c>
    </row>
    <row r="587" spans="1:6" ht="13.9" customHeight="1" x14ac:dyDescent="0.15">
      <c r="A587" s="10">
        <v>2034</v>
      </c>
      <c r="B587" s="10">
        <f t="shared" si="429"/>
        <v>3</v>
      </c>
      <c r="C587" s="67">
        <f t="shared" si="445"/>
        <v>49004</v>
      </c>
      <c r="D587" s="38">
        <f t="shared" ref="D587" si="459">IF(WEEKDAY(DATE(A587,B587,1))&gt;3,(7-(WEEKDAY(DATE(A587,B587,1))-3))+DATE(A587,B587,1),3-WEEKDAY(DATE(A587,B587,1))+DATE(A587,B587,1))+14</f>
        <v>49024</v>
      </c>
      <c r="E587" s="37">
        <f t="shared" si="442"/>
        <v>49024</v>
      </c>
      <c r="F587" s="14" t="str">
        <f t="shared" si="443"/>
        <v/>
      </c>
    </row>
    <row r="588" spans="1:6" ht="13.9" customHeight="1" x14ac:dyDescent="0.15">
      <c r="A588" s="10">
        <v>2034</v>
      </c>
      <c r="B588" s="10">
        <f t="shared" si="429"/>
        <v>3</v>
      </c>
      <c r="C588" s="67">
        <f t="shared" si="445"/>
        <v>49004</v>
      </c>
      <c r="D588" s="36">
        <f t="shared" ref="D588" si="460">IF(WEEKDAY((DATE(A586,B586,1)))&gt;4,(7-(WEEKDAY((DATE(A586,B586,1)))-4))+(DATE(A586,B586,1)),4-WEEKDAY((DATE(A586,B586,1)))+(DATE(A586,B586,1)))+21</f>
        <v>49025</v>
      </c>
      <c r="E588" s="37">
        <f t="shared" si="442"/>
        <v>49025</v>
      </c>
      <c r="F588" s="14" t="str">
        <f t="shared" si="443"/>
        <v/>
      </c>
    </row>
    <row r="589" spans="1:6" ht="13.9" customHeight="1" x14ac:dyDescent="0.15">
      <c r="A589" s="10">
        <v>2034</v>
      </c>
      <c r="B589" s="10">
        <f t="shared" si="429"/>
        <v>4</v>
      </c>
      <c r="C589" s="67">
        <f t="shared" si="445"/>
        <v>49035</v>
      </c>
      <c r="D589" s="36">
        <f t="shared" ref="D589" si="461">IF(WEEKDAY((DATE(A589,B589,1)))&gt;4,(7-(WEEKDAY((DATE(A589,B589,1)))-4))+(DATE(A589,B589,1)),4-WEEKDAY((DATE(A589,B589,1)))+(DATE(A589,B589,1)))+7</f>
        <v>49046</v>
      </c>
      <c r="E589" s="37">
        <f t="shared" si="442"/>
        <v>49046</v>
      </c>
      <c r="F589" s="14" t="str">
        <f t="shared" si="443"/>
        <v/>
      </c>
    </row>
    <row r="590" spans="1:6" ht="13.9" customHeight="1" x14ac:dyDescent="0.15">
      <c r="A590" s="10">
        <v>2034</v>
      </c>
      <c r="B590" s="10">
        <f t="shared" si="429"/>
        <v>4</v>
      </c>
      <c r="C590" s="67">
        <f t="shared" si="445"/>
        <v>49035</v>
      </c>
      <c r="D590" s="38">
        <f t="shared" ref="D590" si="462">IF(WEEKDAY(DATE(A590,B590,1))&gt;3,(7-(WEEKDAY(DATE(A590,B590,1))-3))+DATE(A590,B590,1),3-WEEKDAY(DATE(A590,B590,1))+DATE(A590,B590,1))+14</f>
        <v>49052</v>
      </c>
      <c r="E590" s="37">
        <f t="shared" si="442"/>
        <v>49052</v>
      </c>
      <c r="F590" s="14" t="str">
        <f t="shared" si="443"/>
        <v/>
      </c>
    </row>
    <row r="591" spans="1:6" ht="13.9" customHeight="1" x14ac:dyDescent="0.15">
      <c r="A591" s="10">
        <v>2034</v>
      </c>
      <c r="B591" s="10">
        <f t="shared" si="429"/>
        <v>4</v>
      </c>
      <c r="C591" s="67">
        <f t="shared" si="445"/>
        <v>49035</v>
      </c>
      <c r="D591" s="36">
        <f t="shared" ref="D591" si="463">IF(WEEKDAY((DATE(A589,B589,1)))&gt;4,(7-(WEEKDAY((DATE(A589,B589,1)))-4))+(DATE(A589,B589,1)),4-WEEKDAY((DATE(A589,B589,1)))+(DATE(A589,B589,1)))+21</f>
        <v>49060</v>
      </c>
      <c r="E591" s="37">
        <f t="shared" si="442"/>
        <v>49060</v>
      </c>
      <c r="F591" s="14" t="str">
        <f t="shared" si="443"/>
        <v/>
      </c>
    </row>
    <row r="592" spans="1:6" ht="13.9" customHeight="1" x14ac:dyDescent="0.15">
      <c r="A592" s="10">
        <v>2034</v>
      </c>
      <c r="B592" s="10">
        <f t="shared" si="429"/>
        <v>5</v>
      </c>
      <c r="C592" s="67">
        <f t="shared" si="445"/>
        <v>49065</v>
      </c>
      <c r="D592" s="36">
        <f t="shared" ref="D592" si="464">IF(WEEKDAY((DATE(A592,B592,1)))&gt;4,(7-(WEEKDAY((DATE(A592,B592,1)))-4))+(DATE(A592,B592,1)),4-WEEKDAY((DATE(A592,B592,1)))+(DATE(A592,B592,1)))+7</f>
        <v>49074</v>
      </c>
      <c r="E592" s="37">
        <f t="shared" si="442"/>
        <v>49074</v>
      </c>
      <c r="F592" s="14" t="str">
        <f t="shared" si="443"/>
        <v/>
      </c>
    </row>
    <row r="593" spans="1:6" ht="13.9" customHeight="1" x14ac:dyDescent="0.15">
      <c r="A593" s="10">
        <v>2034</v>
      </c>
      <c r="B593" s="10">
        <f t="shared" si="429"/>
        <v>5</v>
      </c>
      <c r="C593" s="67">
        <f t="shared" si="445"/>
        <v>49065</v>
      </c>
      <c r="D593" s="38">
        <f t="shared" ref="D593" si="465">IF(WEEKDAY(DATE(A593,B593,1))&gt;3,(7-(WEEKDAY(DATE(A593,B593,1))-3))+DATE(A593,B593,1),3-WEEKDAY(DATE(A593,B593,1))+DATE(A593,B593,1))+14</f>
        <v>49080</v>
      </c>
      <c r="E593" s="37">
        <f t="shared" si="442"/>
        <v>49080</v>
      </c>
      <c r="F593" s="14" t="str">
        <f t="shared" si="443"/>
        <v/>
      </c>
    </row>
    <row r="594" spans="1:6" ht="13.9" customHeight="1" x14ac:dyDescent="0.15">
      <c r="A594" s="10">
        <v>2034</v>
      </c>
      <c r="B594" s="10">
        <f t="shared" si="429"/>
        <v>5</v>
      </c>
      <c r="C594" s="67">
        <f t="shared" si="445"/>
        <v>49065</v>
      </c>
      <c r="D594" s="36">
        <f t="shared" ref="D594" si="466">IF(WEEKDAY((DATE(A592,B592,1)))&gt;4,(7-(WEEKDAY((DATE(A592,B592,1)))-4))+(DATE(A592,B592,1)),4-WEEKDAY((DATE(A592,B592,1)))+(DATE(A592,B592,1)))+21</f>
        <v>49088</v>
      </c>
      <c r="E594" s="37">
        <f t="shared" si="442"/>
        <v>49088</v>
      </c>
      <c r="F594" s="14" t="str">
        <f t="shared" si="443"/>
        <v/>
      </c>
    </row>
    <row r="595" spans="1:6" ht="13.9" customHeight="1" x14ac:dyDescent="0.15">
      <c r="A595" s="10">
        <v>2034</v>
      </c>
      <c r="B595" s="10">
        <f t="shared" si="429"/>
        <v>6</v>
      </c>
      <c r="C595" s="67">
        <f t="shared" si="445"/>
        <v>49096</v>
      </c>
      <c r="D595" s="36">
        <f t="shared" ref="D595" si="467">IF(WEEKDAY((DATE(A595,B595,1)))&gt;4,(7-(WEEKDAY((DATE(A595,B595,1)))-4))+(DATE(A595,B595,1)),4-WEEKDAY((DATE(A595,B595,1)))+(DATE(A595,B595,1)))+7</f>
        <v>49109</v>
      </c>
      <c r="E595" s="37">
        <f t="shared" si="442"/>
        <v>49109</v>
      </c>
      <c r="F595" s="14" t="str">
        <f t="shared" si="443"/>
        <v/>
      </c>
    </row>
    <row r="596" spans="1:6" ht="13.9" customHeight="1" x14ac:dyDescent="0.15">
      <c r="A596" s="10">
        <v>2034</v>
      </c>
      <c r="B596" s="10">
        <f t="shared" si="429"/>
        <v>6</v>
      </c>
      <c r="C596" s="67">
        <f t="shared" si="445"/>
        <v>49096</v>
      </c>
      <c r="D596" s="38">
        <f t="shared" ref="D596" si="468">IF(WEEKDAY(DATE(A596,B596,1))&gt;3,(7-(WEEKDAY(DATE(A596,B596,1))-3))+DATE(A596,B596,1),3-WEEKDAY(DATE(A596,B596,1))+DATE(A596,B596,1))+14</f>
        <v>49115</v>
      </c>
      <c r="E596" s="37">
        <f t="shared" si="442"/>
        <v>49115</v>
      </c>
      <c r="F596" s="14" t="str">
        <f t="shared" si="443"/>
        <v/>
      </c>
    </row>
    <row r="597" spans="1:6" ht="13.9" customHeight="1" x14ac:dyDescent="0.15">
      <c r="A597" s="10">
        <v>2034</v>
      </c>
      <c r="B597" s="10">
        <f t="shared" si="429"/>
        <v>6</v>
      </c>
      <c r="C597" s="67">
        <f t="shared" si="445"/>
        <v>49096</v>
      </c>
      <c r="D597" s="36">
        <f t="shared" ref="D597" si="469">IF(WEEKDAY((DATE(A595,B595,1)))&gt;4,(7-(WEEKDAY((DATE(A595,B595,1)))-4))+(DATE(A595,B595,1)),4-WEEKDAY((DATE(A595,B595,1)))+(DATE(A595,B595,1)))+21</f>
        <v>49123</v>
      </c>
      <c r="E597" s="37">
        <f t="shared" si="442"/>
        <v>49123</v>
      </c>
      <c r="F597" s="14" t="str">
        <f t="shared" si="443"/>
        <v/>
      </c>
    </row>
    <row r="598" spans="1:6" ht="13.9" customHeight="1" x14ac:dyDescent="0.15">
      <c r="A598" s="10">
        <v>2034</v>
      </c>
      <c r="B598" s="10">
        <f t="shared" si="429"/>
        <v>7</v>
      </c>
      <c r="C598" s="67">
        <f t="shared" si="445"/>
        <v>49126</v>
      </c>
      <c r="D598" s="36">
        <f t="shared" ref="D598" si="470">IF(WEEKDAY((DATE(A598,B598,1)))&gt;4,(7-(WEEKDAY((DATE(A598,B598,1)))-4))+(DATE(A598,B598,1)),4-WEEKDAY((DATE(A598,B598,1)))+(DATE(A598,B598,1)))+7</f>
        <v>49137</v>
      </c>
      <c r="E598" s="37">
        <f t="shared" si="442"/>
        <v>49137</v>
      </c>
      <c r="F598" s="14" t="str">
        <f t="shared" si="443"/>
        <v/>
      </c>
    </row>
    <row r="599" spans="1:6" ht="13.9" customHeight="1" x14ac:dyDescent="0.15">
      <c r="A599" s="10">
        <v>2034</v>
      </c>
      <c r="B599" s="10">
        <f t="shared" si="429"/>
        <v>7</v>
      </c>
      <c r="C599" s="67">
        <f t="shared" si="445"/>
        <v>49126</v>
      </c>
      <c r="D599" s="38">
        <f t="shared" ref="D599" si="471">IF(WEEKDAY(DATE(A599,B599,1))&gt;3,(7-(WEEKDAY(DATE(A599,B599,1))-3))+DATE(A599,B599,1),3-WEEKDAY(DATE(A599,B599,1))+DATE(A599,B599,1))+14</f>
        <v>49143</v>
      </c>
      <c r="E599" s="37">
        <f t="shared" si="442"/>
        <v>49143</v>
      </c>
      <c r="F599" s="14" t="str">
        <f t="shared" si="443"/>
        <v/>
      </c>
    </row>
    <row r="600" spans="1:6" ht="13.9" customHeight="1" x14ac:dyDescent="0.15">
      <c r="A600" s="10">
        <v>2034</v>
      </c>
      <c r="B600" s="10">
        <f t="shared" si="429"/>
        <v>7</v>
      </c>
      <c r="C600" s="67">
        <f t="shared" si="445"/>
        <v>49126</v>
      </c>
      <c r="D600" s="36">
        <f t="shared" ref="D600" si="472">IF(WEEKDAY((DATE(A598,B598,1)))&gt;4,(7-(WEEKDAY((DATE(A598,B598,1)))-4))+(DATE(A598,B598,1)),4-WEEKDAY((DATE(A598,B598,1)))+(DATE(A598,B598,1)))+21</f>
        <v>49151</v>
      </c>
      <c r="E600" s="37">
        <f t="shared" si="442"/>
        <v>49151</v>
      </c>
      <c r="F600" s="14" t="str">
        <f t="shared" si="443"/>
        <v/>
      </c>
    </row>
    <row r="601" spans="1:6" ht="13.9" customHeight="1" x14ac:dyDescent="0.15">
      <c r="A601" s="10">
        <v>2034</v>
      </c>
      <c r="B601" s="10">
        <f t="shared" si="429"/>
        <v>8</v>
      </c>
      <c r="C601" s="67">
        <f t="shared" si="445"/>
        <v>49157</v>
      </c>
      <c r="D601" s="36">
        <f t="shared" ref="D601" si="473">IF(WEEKDAY((DATE(A601,B601,1)))&gt;4,(7-(WEEKDAY((DATE(A601,B601,1)))-4))+(DATE(A601,B601,1)),4-WEEKDAY((DATE(A601,B601,1)))+(DATE(A601,B601,1)))+7</f>
        <v>49165</v>
      </c>
      <c r="E601" s="37">
        <f t="shared" si="442"/>
        <v>49165</v>
      </c>
      <c r="F601" s="14" t="str">
        <f t="shared" si="443"/>
        <v/>
      </c>
    </row>
    <row r="602" spans="1:6" ht="13.9" customHeight="1" x14ac:dyDescent="0.15">
      <c r="A602" s="10">
        <v>2034</v>
      </c>
      <c r="B602" s="10">
        <f t="shared" si="429"/>
        <v>8</v>
      </c>
      <c r="C602" s="67">
        <f t="shared" si="445"/>
        <v>49157</v>
      </c>
      <c r="D602" s="38">
        <f t="shared" ref="D602" si="474">IF(WEEKDAY(DATE(A602,B602,1))&gt;3,(7-(WEEKDAY(DATE(A602,B602,1))-3))+DATE(A602,B602,1),3-WEEKDAY(DATE(A602,B602,1))+DATE(A602,B602,1))+14</f>
        <v>49171</v>
      </c>
      <c r="E602" s="37">
        <f t="shared" si="442"/>
        <v>49171</v>
      </c>
      <c r="F602" s="14" t="str">
        <f t="shared" si="443"/>
        <v/>
      </c>
    </row>
    <row r="603" spans="1:6" ht="13.9" customHeight="1" x14ac:dyDescent="0.15">
      <c r="A603" s="10">
        <v>2034</v>
      </c>
      <c r="B603" s="10">
        <f t="shared" si="429"/>
        <v>8</v>
      </c>
      <c r="C603" s="67">
        <f t="shared" si="445"/>
        <v>49157</v>
      </c>
      <c r="D603" s="36">
        <f t="shared" ref="D603" si="475">IF(WEEKDAY((DATE(A601,B601,1)))&gt;4,(7-(WEEKDAY((DATE(A601,B601,1)))-4))+(DATE(A601,B601,1)),4-WEEKDAY((DATE(A601,B601,1)))+(DATE(A601,B601,1)))+21</f>
        <v>49179</v>
      </c>
      <c r="E603" s="37">
        <f t="shared" si="442"/>
        <v>49179</v>
      </c>
      <c r="F603" s="14" t="str">
        <f t="shared" si="443"/>
        <v/>
      </c>
    </row>
    <row r="604" spans="1:6" ht="13.9" customHeight="1" x14ac:dyDescent="0.15">
      <c r="A604" s="10">
        <v>2034</v>
      </c>
      <c r="B604" s="10">
        <f t="shared" si="429"/>
        <v>9</v>
      </c>
      <c r="C604" s="67">
        <f t="shared" si="445"/>
        <v>49188</v>
      </c>
      <c r="D604" s="36">
        <f t="shared" ref="D604" si="476">IF(WEEKDAY((DATE(A604,B604,1)))&gt;4,(7-(WEEKDAY((DATE(A604,B604,1)))-4))+(DATE(A604,B604,1)),4-WEEKDAY((DATE(A604,B604,1)))+(DATE(A604,B604,1)))+7</f>
        <v>49200</v>
      </c>
      <c r="E604" s="37">
        <f t="shared" si="442"/>
        <v>49200</v>
      </c>
      <c r="F604" s="14" t="str">
        <f t="shared" si="443"/>
        <v/>
      </c>
    </row>
    <row r="605" spans="1:6" ht="13.9" customHeight="1" x14ac:dyDescent="0.15">
      <c r="A605" s="10">
        <v>2034</v>
      </c>
      <c r="B605" s="10">
        <f t="shared" si="429"/>
        <v>9</v>
      </c>
      <c r="C605" s="67">
        <f t="shared" si="445"/>
        <v>49188</v>
      </c>
      <c r="D605" s="38">
        <f t="shared" ref="D605" si="477">IF(WEEKDAY(DATE(A605,B605,1))&gt;3,(7-(WEEKDAY(DATE(A605,B605,1))-3))+DATE(A605,B605,1),3-WEEKDAY(DATE(A605,B605,1))+DATE(A605,B605,1))+14</f>
        <v>49206</v>
      </c>
      <c r="E605" s="37">
        <f t="shared" si="442"/>
        <v>49206</v>
      </c>
      <c r="F605" s="14" t="str">
        <f t="shared" si="443"/>
        <v/>
      </c>
    </row>
    <row r="606" spans="1:6" ht="13.9" customHeight="1" x14ac:dyDescent="0.15">
      <c r="A606" s="10">
        <v>2034</v>
      </c>
      <c r="B606" s="10">
        <f t="shared" si="429"/>
        <v>9</v>
      </c>
      <c r="C606" s="67">
        <f t="shared" si="445"/>
        <v>49188</v>
      </c>
      <c r="D606" s="36">
        <f t="shared" ref="D606" si="478">IF(WEEKDAY((DATE(A604,B604,1)))&gt;4,(7-(WEEKDAY((DATE(A604,B604,1)))-4))+(DATE(A604,B604,1)),4-WEEKDAY((DATE(A604,B604,1)))+(DATE(A604,B604,1)))+21</f>
        <v>49214</v>
      </c>
      <c r="E606" s="37">
        <f t="shared" si="442"/>
        <v>49214</v>
      </c>
      <c r="F606" s="14" t="str">
        <f t="shared" si="443"/>
        <v/>
      </c>
    </row>
    <row r="607" spans="1:6" ht="13.9" customHeight="1" x14ac:dyDescent="0.15">
      <c r="A607" s="10">
        <v>2034</v>
      </c>
      <c r="B607" s="10">
        <f t="shared" si="429"/>
        <v>10</v>
      </c>
      <c r="C607" s="67">
        <f t="shared" si="445"/>
        <v>49218</v>
      </c>
      <c r="D607" s="36">
        <f t="shared" ref="D607" si="479">IF(WEEKDAY((DATE(A607,B607,1)))&gt;4,(7-(WEEKDAY((DATE(A607,B607,1)))-4))+(DATE(A607,B607,1)),4-WEEKDAY((DATE(A607,B607,1)))+(DATE(A607,B607,1)))+7</f>
        <v>49228</v>
      </c>
      <c r="E607" s="37">
        <f t="shared" si="442"/>
        <v>49228</v>
      </c>
      <c r="F607" s="14" t="str">
        <f t="shared" si="443"/>
        <v/>
      </c>
    </row>
    <row r="608" spans="1:6" ht="13.9" customHeight="1" x14ac:dyDescent="0.15">
      <c r="A608" s="10">
        <v>2034</v>
      </c>
      <c r="B608" s="10">
        <f t="shared" si="429"/>
        <v>10</v>
      </c>
      <c r="C608" s="67">
        <f t="shared" si="445"/>
        <v>49218</v>
      </c>
      <c r="D608" s="38">
        <f t="shared" ref="D608" si="480">IF(WEEKDAY(DATE(A608,B608,1))&gt;3,(7-(WEEKDAY(DATE(A608,B608,1))-3))+DATE(A608,B608,1),3-WEEKDAY(DATE(A608,B608,1))+DATE(A608,B608,1))+14</f>
        <v>49234</v>
      </c>
      <c r="E608" s="37">
        <f t="shared" si="442"/>
        <v>49234</v>
      </c>
      <c r="F608" s="14" t="str">
        <f t="shared" si="443"/>
        <v/>
      </c>
    </row>
    <row r="609" spans="1:6" ht="13.9" customHeight="1" x14ac:dyDescent="0.15">
      <c r="A609" s="10">
        <v>2034</v>
      </c>
      <c r="B609" s="10">
        <f t="shared" si="429"/>
        <v>10</v>
      </c>
      <c r="C609" s="67">
        <f t="shared" si="445"/>
        <v>49218</v>
      </c>
      <c r="D609" s="36">
        <f t="shared" ref="D609" si="481">IF(WEEKDAY((DATE(A607,B607,1)))&gt;4,(7-(WEEKDAY((DATE(A607,B607,1)))-4))+(DATE(A607,B607,1)),4-WEEKDAY((DATE(A607,B607,1)))+(DATE(A607,B607,1)))+21</f>
        <v>49242</v>
      </c>
      <c r="E609" s="37">
        <f t="shared" si="442"/>
        <v>49242</v>
      </c>
      <c r="F609" s="14" t="str">
        <f t="shared" si="443"/>
        <v/>
      </c>
    </row>
    <row r="610" spans="1:6" ht="13.9" customHeight="1" x14ac:dyDescent="0.15">
      <c r="A610" s="10">
        <v>2034</v>
      </c>
      <c r="B610" s="10">
        <f t="shared" si="429"/>
        <v>11</v>
      </c>
      <c r="C610" s="67">
        <f t="shared" si="445"/>
        <v>49249</v>
      </c>
      <c r="D610" s="36">
        <f t="shared" ref="D610" si="482">IF(WEEKDAY((DATE(A610,B610,1)))&gt;4,(7-(WEEKDAY((DATE(A610,B610,1)))-4))+(DATE(A610,B610,1)),4-WEEKDAY((DATE(A610,B610,1)))+(DATE(A610,B610,1)))+7</f>
        <v>49256</v>
      </c>
      <c r="E610" s="37">
        <f t="shared" si="442"/>
        <v>49256</v>
      </c>
      <c r="F610" s="14" t="str">
        <f t="shared" si="443"/>
        <v/>
      </c>
    </row>
    <row r="611" spans="1:6" ht="13.9" customHeight="1" x14ac:dyDescent="0.15">
      <c r="A611" s="10">
        <v>2034</v>
      </c>
      <c r="B611" s="10">
        <f t="shared" si="429"/>
        <v>11</v>
      </c>
      <c r="C611" s="67">
        <f t="shared" si="445"/>
        <v>49249</v>
      </c>
      <c r="D611" s="38">
        <f t="shared" ref="D611" si="483">IF(WEEKDAY(DATE(A611,B611,1))&gt;3,(7-(WEEKDAY(DATE(A611,B611,1))-3))+DATE(A611,B611,1),3-WEEKDAY(DATE(A611,B611,1))+DATE(A611,B611,1))+14</f>
        <v>49269</v>
      </c>
      <c r="E611" s="37">
        <f t="shared" si="442"/>
        <v>49269</v>
      </c>
      <c r="F611" s="14" t="str">
        <f t="shared" si="443"/>
        <v/>
      </c>
    </row>
    <row r="612" spans="1:6" ht="13.9" customHeight="1" x14ac:dyDescent="0.15">
      <c r="A612" s="10">
        <v>2034</v>
      </c>
      <c r="B612" s="10">
        <f t="shared" si="429"/>
        <v>11</v>
      </c>
      <c r="C612" s="67">
        <f t="shared" si="445"/>
        <v>49249</v>
      </c>
      <c r="D612" s="36">
        <f t="shared" ref="D612" si="484">IF(WEEKDAY((DATE(A610,B610,1)))&gt;4,(7-(WEEKDAY((DATE(A610,B610,1)))-4))+(DATE(A610,B610,1)),4-WEEKDAY((DATE(A610,B610,1)))+(DATE(A610,B610,1)))+21</f>
        <v>49270</v>
      </c>
      <c r="E612" s="37">
        <f t="shared" si="442"/>
        <v>49270</v>
      </c>
      <c r="F612" s="14" t="str">
        <f t="shared" si="443"/>
        <v/>
      </c>
    </row>
    <row r="613" spans="1:6" ht="13.9" customHeight="1" x14ac:dyDescent="0.15">
      <c r="A613" s="10">
        <v>2034</v>
      </c>
      <c r="B613" s="10">
        <f t="shared" si="429"/>
        <v>12</v>
      </c>
      <c r="C613" s="67">
        <f t="shared" si="445"/>
        <v>49279</v>
      </c>
      <c r="D613" s="36">
        <f t="shared" ref="D613" si="485">IF(WEEKDAY((DATE(A613,B613,1)))&gt;4,(7-(WEEKDAY((DATE(A613,B613,1)))-4))+(DATE(A613,B613,1)),4-WEEKDAY((DATE(A613,B613,1)))+(DATE(A613,B613,1)))+7</f>
        <v>49291</v>
      </c>
      <c r="E613" s="37">
        <f t="shared" si="442"/>
        <v>49291</v>
      </c>
      <c r="F613" s="14" t="str">
        <f t="shared" si="443"/>
        <v/>
      </c>
    </row>
    <row r="614" spans="1:6" ht="13.9" customHeight="1" x14ac:dyDescent="0.15">
      <c r="A614" s="10">
        <v>2034</v>
      </c>
      <c r="B614" s="10">
        <f t="shared" si="429"/>
        <v>12</v>
      </c>
      <c r="C614" s="67">
        <f t="shared" si="445"/>
        <v>49279</v>
      </c>
      <c r="D614" s="38">
        <f t="shared" ref="D614" si="486">IF(WEEKDAY(DATE(A614,B614,1))&gt;3,(7-(WEEKDAY(DATE(A614,B614,1))-3))+DATE(A614,B614,1),3-WEEKDAY(DATE(A614,B614,1))+DATE(A614,B614,1))+14</f>
        <v>49297</v>
      </c>
      <c r="E614" s="37">
        <f t="shared" si="442"/>
        <v>49297</v>
      </c>
      <c r="F614" s="14" t="str">
        <f t="shared" si="443"/>
        <v/>
      </c>
    </row>
    <row r="615" spans="1:6" ht="13.9" customHeight="1" x14ac:dyDescent="0.15">
      <c r="A615" s="10">
        <v>2034</v>
      </c>
      <c r="B615" s="10">
        <f t="shared" si="429"/>
        <v>12</v>
      </c>
      <c r="C615" s="67">
        <f t="shared" si="445"/>
        <v>49279</v>
      </c>
      <c r="D615" s="36">
        <f t="shared" ref="D615" si="487">IF(WEEKDAY((DATE(A613,B613,1)))&gt;4,(7-(WEEKDAY((DATE(A613,B613,1)))-4))+(DATE(A613,B613,1)),4-WEEKDAY((DATE(A613,B613,1)))+(DATE(A613,B613,1)))+21</f>
        <v>49305</v>
      </c>
      <c r="E615" s="37">
        <f t="shared" si="442"/>
        <v>49305</v>
      </c>
      <c r="F615" s="14" t="str">
        <f t="shared" si="443"/>
        <v/>
      </c>
    </row>
    <row r="616" spans="1:6" ht="13.9" customHeight="1" x14ac:dyDescent="0.15">
      <c r="A616" s="10">
        <v>2035</v>
      </c>
      <c r="B616" s="10">
        <f t="shared" si="429"/>
        <v>1</v>
      </c>
      <c r="C616" s="67">
        <f t="shared" si="445"/>
        <v>49310</v>
      </c>
      <c r="D616" s="36">
        <f t="shared" ref="D616" si="488">IF(WEEKDAY((DATE(A616,B616,1)))&gt;4,(7-(WEEKDAY((DATE(A616,B616,1)))-4))+(DATE(A616,B616,1)),4-WEEKDAY((DATE(A616,B616,1)))+(DATE(A616,B616,1)))+7</f>
        <v>49319</v>
      </c>
      <c r="E616" s="37">
        <f t="shared" ref="E616:E679" si="489">D616</f>
        <v>49319</v>
      </c>
      <c r="F616" s="14" t="str">
        <f t="shared" ref="F616:F679" si="490">IFERROR(INDEX($H$1:$AN$1,1,MATCH(1,H616:AN616)),"")</f>
        <v/>
      </c>
    </row>
    <row r="617" spans="1:6" ht="13.9" customHeight="1" x14ac:dyDescent="0.15">
      <c r="A617" s="10">
        <v>2035</v>
      </c>
      <c r="B617" s="10">
        <f t="shared" si="429"/>
        <v>1</v>
      </c>
      <c r="C617" s="67">
        <f t="shared" si="445"/>
        <v>49310</v>
      </c>
      <c r="D617" s="38">
        <f t="shared" ref="D617" si="491">IF(WEEKDAY(DATE(A617,B617,1))&gt;3,(7-(WEEKDAY(DATE(A617,B617,1))-3))+DATE(A617,B617,1),3-WEEKDAY(DATE(A617,B617,1))+DATE(A617,B617,1))+14</f>
        <v>49325</v>
      </c>
      <c r="E617" s="37">
        <f t="shared" si="489"/>
        <v>49325</v>
      </c>
      <c r="F617" s="14" t="str">
        <f t="shared" si="490"/>
        <v/>
      </c>
    </row>
    <row r="618" spans="1:6" ht="13.9" customHeight="1" x14ac:dyDescent="0.15">
      <c r="A618" s="10">
        <v>2035</v>
      </c>
      <c r="B618" s="10">
        <f t="shared" si="429"/>
        <v>1</v>
      </c>
      <c r="C618" s="67">
        <f t="shared" si="445"/>
        <v>49310</v>
      </c>
      <c r="D618" s="36">
        <f t="shared" ref="D618" si="492">IF(WEEKDAY((DATE(A616,B616,1)))&gt;4,(7-(WEEKDAY((DATE(A616,B616,1)))-4))+(DATE(A616,B616,1)),4-WEEKDAY((DATE(A616,B616,1)))+(DATE(A616,B616,1)))+21</f>
        <v>49333</v>
      </c>
      <c r="E618" s="37">
        <f t="shared" si="489"/>
        <v>49333</v>
      </c>
      <c r="F618" s="14" t="str">
        <f t="shared" si="490"/>
        <v/>
      </c>
    </row>
    <row r="619" spans="1:6" ht="13.9" customHeight="1" x14ac:dyDescent="0.15">
      <c r="A619" s="10">
        <v>2035</v>
      </c>
      <c r="B619" s="10">
        <f t="shared" si="429"/>
        <v>2</v>
      </c>
      <c r="C619" s="67">
        <f t="shared" si="445"/>
        <v>49341</v>
      </c>
      <c r="D619" s="36">
        <f t="shared" ref="D619" si="493">IF(WEEKDAY((DATE(A619,B619,1)))&gt;4,(7-(WEEKDAY((DATE(A619,B619,1)))-4))+(DATE(A619,B619,1)),4-WEEKDAY((DATE(A619,B619,1)))+(DATE(A619,B619,1)))+7</f>
        <v>49354</v>
      </c>
      <c r="E619" s="37">
        <f t="shared" si="489"/>
        <v>49354</v>
      </c>
      <c r="F619" s="14" t="str">
        <f t="shared" si="490"/>
        <v/>
      </c>
    </row>
    <row r="620" spans="1:6" ht="13.9" customHeight="1" x14ac:dyDescent="0.15">
      <c r="A620" s="10">
        <v>2035</v>
      </c>
      <c r="B620" s="10">
        <f t="shared" si="429"/>
        <v>2</v>
      </c>
      <c r="C620" s="67">
        <f t="shared" si="445"/>
        <v>49341</v>
      </c>
      <c r="D620" s="38">
        <f t="shared" ref="D620" si="494">IF(WEEKDAY(DATE(A620,B620,1))&gt;3,(7-(WEEKDAY(DATE(A620,B620,1))-3))+DATE(A620,B620,1),3-WEEKDAY(DATE(A620,B620,1))+DATE(A620,B620,1))+14</f>
        <v>49360</v>
      </c>
      <c r="E620" s="37">
        <f t="shared" si="489"/>
        <v>49360</v>
      </c>
      <c r="F620" s="14" t="str">
        <f t="shared" si="490"/>
        <v/>
      </c>
    </row>
    <row r="621" spans="1:6" ht="13.9" customHeight="1" x14ac:dyDescent="0.15">
      <c r="A621" s="10">
        <v>2035</v>
      </c>
      <c r="B621" s="10">
        <f t="shared" si="429"/>
        <v>2</v>
      </c>
      <c r="C621" s="67">
        <f t="shared" si="445"/>
        <v>49341</v>
      </c>
      <c r="D621" s="36">
        <f t="shared" ref="D621" si="495">IF(WEEKDAY((DATE(A619,B619,1)))&gt;4,(7-(WEEKDAY((DATE(A619,B619,1)))-4))+(DATE(A619,B619,1)),4-WEEKDAY((DATE(A619,B619,1)))+(DATE(A619,B619,1)))+21</f>
        <v>49368</v>
      </c>
      <c r="E621" s="37">
        <f t="shared" si="489"/>
        <v>49368</v>
      </c>
      <c r="F621" s="14" t="str">
        <f t="shared" si="490"/>
        <v/>
      </c>
    </row>
    <row r="622" spans="1:6" ht="13.9" customHeight="1" x14ac:dyDescent="0.15">
      <c r="A622" s="10">
        <v>2035</v>
      </c>
      <c r="B622" s="10">
        <f t="shared" si="429"/>
        <v>3</v>
      </c>
      <c r="C622" s="67">
        <f t="shared" si="445"/>
        <v>49369</v>
      </c>
      <c r="D622" s="36">
        <f t="shared" ref="D622" si="496">IF(WEEKDAY((DATE(A622,B622,1)))&gt;4,(7-(WEEKDAY((DATE(A622,B622,1)))-4))+(DATE(A622,B622,1)),4-WEEKDAY((DATE(A622,B622,1)))+(DATE(A622,B622,1)))+7</f>
        <v>49382</v>
      </c>
      <c r="E622" s="37">
        <f t="shared" si="489"/>
        <v>49382</v>
      </c>
      <c r="F622" s="14" t="str">
        <f t="shared" si="490"/>
        <v/>
      </c>
    </row>
    <row r="623" spans="1:6" ht="13.9" customHeight="1" x14ac:dyDescent="0.15">
      <c r="A623" s="10">
        <v>2035</v>
      </c>
      <c r="B623" s="10">
        <f t="shared" si="429"/>
        <v>3</v>
      </c>
      <c r="C623" s="67">
        <f t="shared" si="445"/>
        <v>49369</v>
      </c>
      <c r="D623" s="38">
        <f t="shared" ref="D623" si="497">IF(WEEKDAY(DATE(A623,B623,1))&gt;3,(7-(WEEKDAY(DATE(A623,B623,1))-3))+DATE(A623,B623,1),3-WEEKDAY(DATE(A623,B623,1))+DATE(A623,B623,1))+14</f>
        <v>49388</v>
      </c>
      <c r="E623" s="37">
        <f t="shared" si="489"/>
        <v>49388</v>
      </c>
      <c r="F623" s="14" t="str">
        <f t="shared" si="490"/>
        <v/>
      </c>
    </row>
    <row r="624" spans="1:6" ht="13.9" customHeight="1" x14ac:dyDescent="0.15">
      <c r="A624" s="10">
        <v>2035</v>
      </c>
      <c r="B624" s="10">
        <f t="shared" si="429"/>
        <v>3</v>
      </c>
      <c r="C624" s="67">
        <f t="shared" si="445"/>
        <v>49369</v>
      </c>
      <c r="D624" s="36">
        <f t="shared" ref="D624" si="498">IF(WEEKDAY((DATE(A622,B622,1)))&gt;4,(7-(WEEKDAY((DATE(A622,B622,1)))-4))+(DATE(A622,B622,1)),4-WEEKDAY((DATE(A622,B622,1)))+(DATE(A622,B622,1)))+21</f>
        <v>49396</v>
      </c>
      <c r="E624" s="37">
        <f t="shared" si="489"/>
        <v>49396</v>
      </c>
      <c r="F624" s="14" t="str">
        <f t="shared" si="490"/>
        <v/>
      </c>
    </row>
    <row r="625" spans="1:6" ht="13.9" customHeight="1" x14ac:dyDescent="0.15">
      <c r="A625" s="10">
        <v>2035</v>
      </c>
      <c r="B625" s="10">
        <f t="shared" ref="B625:B688" si="499">IF(B622+1&gt;12,B622+1-12,B622+1)</f>
        <v>4</v>
      </c>
      <c r="C625" s="67">
        <f t="shared" si="445"/>
        <v>49400</v>
      </c>
      <c r="D625" s="36">
        <f t="shared" ref="D625" si="500">IF(WEEKDAY((DATE(A625,B625,1)))&gt;4,(7-(WEEKDAY((DATE(A625,B625,1)))-4))+(DATE(A625,B625,1)),4-WEEKDAY((DATE(A625,B625,1)))+(DATE(A625,B625,1)))+7</f>
        <v>49410</v>
      </c>
      <c r="E625" s="37">
        <f t="shared" si="489"/>
        <v>49410</v>
      </c>
      <c r="F625" s="14" t="str">
        <f t="shared" si="490"/>
        <v/>
      </c>
    </row>
    <row r="626" spans="1:6" ht="13.9" customHeight="1" x14ac:dyDescent="0.15">
      <c r="A626" s="10">
        <v>2035</v>
      </c>
      <c r="B626" s="10">
        <f t="shared" si="499"/>
        <v>4</v>
      </c>
      <c r="C626" s="67">
        <f t="shared" si="445"/>
        <v>49400</v>
      </c>
      <c r="D626" s="38">
        <f t="shared" ref="D626" si="501">IF(WEEKDAY(DATE(A626,B626,1))&gt;3,(7-(WEEKDAY(DATE(A626,B626,1))-3))+DATE(A626,B626,1),3-WEEKDAY(DATE(A626,B626,1))+DATE(A626,B626,1))+14</f>
        <v>49416</v>
      </c>
      <c r="E626" s="37">
        <f t="shared" si="489"/>
        <v>49416</v>
      </c>
      <c r="F626" s="14" t="str">
        <f t="shared" si="490"/>
        <v/>
      </c>
    </row>
    <row r="627" spans="1:6" ht="13.9" customHeight="1" x14ac:dyDescent="0.15">
      <c r="A627" s="10">
        <v>2035</v>
      </c>
      <c r="B627" s="10">
        <f t="shared" si="499"/>
        <v>4</v>
      </c>
      <c r="C627" s="67">
        <f t="shared" si="445"/>
        <v>49400</v>
      </c>
      <c r="D627" s="36">
        <f t="shared" ref="D627" si="502">IF(WEEKDAY((DATE(A625,B625,1)))&gt;4,(7-(WEEKDAY((DATE(A625,B625,1)))-4))+(DATE(A625,B625,1)),4-WEEKDAY((DATE(A625,B625,1)))+(DATE(A625,B625,1)))+21</f>
        <v>49424</v>
      </c>
      <c r="E627" s="37">
        <f t="shared" si="489"/>
        <v>49424</v>
      </c>
      <c r="F627" s="14" t="str">
        <f t="shared" si="490"/>
        <v/>
      </c>
    </row>
    <row r="628" spans="1:6" ht="13.9" customHeight="1" x14ac:dyDescent="0.15">
      <c r="A628" s="10">
        <v>2035</v>
      </c>
      <c r="B628" s="10">
        <f t="shared" si="499"/>
        <v>5</v>
      </c>
      <c r="C628" s="67">
        <f t="shared" si="445"/>
        <v>49430</v>
      </c>
      <c r="D628" s="36">
        <f t="shared" ref="D628" si="503">IF(WEEKDAY((DATE(A628,B628,1)))&gt;4,(7-(WEEKDAY((DATE(A628,B628,1)))-4))+(DATE(A628,B628,1)),4-WEEKDAY((DATE(A628,B628,1)))+(DATE(A628,B628,1)))+7</f>
        <v>49438</v>
      </c>
      <c r="E628" s="37">
        <f t="shared" si="489"/>
        <v>49438</v>
      </c>
      <c r="F628" s="14" t="str">
        <f t="shared" si="490"/>
        <v/>
      </c>
    </row>
    <row r="629" spans="1:6" ht="13.9" customHeight="1" x14ac:dyDescent="0.15">
      <c r="A629" s="10">
        <v>2035</v>
      </c>
      <c r="B629" s="10">
        <f t="shared" si="499"/>
        <v>5</v>
      </c>
      <c r="C629" s="67">
        <f t="shared" si="445"/>
        <v>49430</v>
      </c>
      <c r="D629" s="38">
        <f t="shared" ref="D629" si="504">IF(WEEKDAY(DATE(A629,B629,1))&gt;3,(7-(WEEKDAY(DATE(A629,B629,1))-3))+DATE(A629,B629,1),3-WEEKDAY(DATE(A629,B629,1))+DATE(A629,B629,1))+14</f>
        <v>49444</v>
      </c>
      <c r="E629" s="37">
        <f t="shared" si="489"/>
        <v>49444</v>
      </c>
      <c r="F629" s="14" t="str">
        <f t="shared" si="490"/>
        <v/>
      </c>
    </row>
    <row r="630" spans="1:6" ht="13.9" customHeight="1" x14ac:dyDescent="0.15">
      <c r="A630" s="10">
        <v>2035</v>
      </c>
      <c r="B630" s="10">
        <f t="shared" si="499"/>
        <v>5</v>
      </c>
      <c r="C630" s="67">
        <f t="shared" si="445"/>
        <v>49430</v>
      </c>
      <c r="D630" s="36">
        <f t="shared" ref="D630" si="505">IF(WEEKDAY((DATE(A628,B628,1)))&gt;4,(7-(WEEKDAY((DATE(A628,B628,1)))-4))+(DATE(A628,B628,1)),4-WEEKDAY((DATE(A628,B628,1)))+(DATE(A628,B628,1)))+21</f>
        <v>49452</v>
      </c>
      <c r="E630" s="37">
        <f t="shared" si="489"/>
        <v>49452</v>
      </c>
      <c r="F630" s="14" t="str">
        <f t="shared" si="490"/>
        <v/>
      </c>
    </row>
    <row r="631" spans="1:6" ht="13.9" customHeight="1" x14ac:dyDescent="0.15">
      <c r="A631" s="10">
        <v>2035</v>
      </c>
      <c r="B631" s="10">
        <f t="shared" si="499"/>
        <v>6</v>
      </c>
      <c r="C631" s="67">
        <f t="shared" si="445"/>
        <v>49461</v>
      </c>
      <c r="D631" s="36">
        <f t="shared" ref="D631" si="506">IF(WEEKDAY((DATE(A631,B631,1)))&gt;4,(7-(WEEKDAY((DATE(A631,B631,1)))-4))+(DATE(A631,B631,1)),4-WEEKDAY((DATE(A631,B631,1)))+(DATE(A631,B631,1)))+7</f>
        <v>49473</v>
      </c>
      <c r="E631" s="37">
        <f t="shared" si="489"/>
        <v>49473</v>
      </c>
      <c r="F631" s="14" t="str">
        <f t="shared" si="490"/>
        <v/>
      </c>
    </row>
    <row r="632" spans="1:6" ht="13.9" customHeight="1" x14ac:dyDescent="0.15">
      <c r="A632" s="10">
        <v>2035</v>
      </c>
      <c r="B632" s="10">
        <f t="shared" si="499"/>
        <v>6</v>
      </c>
      <c r="C632" s="67">
        <f t="shared" si="445"/>
        <v>49461</v>
      </c>
      <c r="D632" s="38">
        <f t="shared" ref="D632" si="507">IF(WEEKDAY(DATE(A632,B632,1))&gt;3,(7-(WEEKDAY(DATE(A632,B632,1))-3))+DATE(A632,B632,1),3-WEEKDAY(DATE(A632,B632,1))+DATE(A632,B632,1))+14</f>
        <v>49479</v>
      </c>
      <c r="E632" s="37">
        <f t="shared" si="489"/>
        <v>49479</v>
      </c>
      <c r="F632" s="14" t="str">
        <f t="shared" si="490"/>
        <v/>
      </c>
    </row>
    <row r="633" spans="1:6" ht="13.9" customHeight="1" x14ac:dyDescent="0.15">
      <c r="A633" s="10">
        <v>2035</v>
      </c>
      <c r="B633" s="10">
        <f t="shared" si="499"/>
        <v>6</v>
      </c>
      <c r="C633" s="67">
        <f t="shared" si="445"/>
        <v>49461</v>
      </c>
      <c r="D633" s="36">
        <f t="shared" ref="D633" si="508">IF(WEEKDAY((DATE(A631,B631,1)))&gt;4,(7-(WEEKDAY((DATE(A631,B631,1)))-4))+(DATE(A631,B631,1)),4-WEEKDAY((DATE(A631,B631,1)))+(DATE(A631,B631,1)))+21</f>
        <v>49487</v>
      </c>
      <c r="E633" s="37">
        <f t="shared" si="489"/>
        <v>49487</v>
      </c>
      <c r="F633" s="14" t="str">
        <f t="shared" si="490"/>
        <v/>
      </c>
    </row>
    <row r="634" spans="1:6" ht="13.9" customHeight="1" x14ac:dyDescent="0.15">
      <c r="A634" s="10">
        <v>2035</v>
      </c>
      <c r="B634" s="10">
        <f t="shared" si="499"/>
        <v>7</v>
      </c>
      <c r="C634" s="67">
        <f t="shared" si="445"/>
        <v>49491</v>
      </c>
      <c r="D634" s="36">
        <f t="shared" ref="D634" si="509">IF(WEEKDAY((DATE(A634,B634,1)))&gt;4,(7-(WEEKDAY((DATE(A634,B634,1)))-4))+(DATE(A634,B634,1)),4-WEEKDAY((DATE(A634,B634,1)))+(DATE(A634,B634,1)))+7</f>
        <v>49501</v>
      </c>
      <c r="E634" s="37">
        <f t="shared" si="489"/>
        <v>49501</v>
      </c>
      <c r="F634" s="14" t="str">
        <f t="shared" si="490"/>
        <v/>
      </c>
    </row>
    <row r="635" spans="1:6" ht="13.9" customHeight="1" x14ac:dyDescent="0.15">
      <c r="A635" s="10">
        <v>2035</v>
      </c>
      <c r="B635" s="10">
        <f t="shared" si="499"/>
        <v>7</v>
      </c>
      <c r="C635" s="67">
        <f t="shared" si="445"/>
        <v>49491</v>
      </c>
      <c r="D635" s="38">
        <f t="shared" ref="D635" si="510">IF(WEEKDAY(DATE(A635,B635,1))&gt;3,(7-(WEEKDAY(DATE(A635,B635,1))-3))+DATE(A635,B635,1),3-WEEKDAY(DATE(A635,B635,1))+DATE(A635,B635,1))+14</f>
        <v>49507</v>
      </c>
      <c r="E635" s="37">
        <f t="shared" si="489"/>
        <v>49507</v>
      </c>
      <c r="F635" s="14" t="str">
        <f t="shared" si="490"/>
        <v/>
      </c>
    </row>
    <row r="636" spans="1:6" ht="13.9" customHeight="1" x14ac:dyDescent="0.15">
      <c r="A636" s="10">
        <v>2035</v>
      </c>
      <c r="B636" s="10">
        <f t="shared" si="499"/>
        <v>7</v>
      </c>
      <c r="C636" s="67">
        <f t="shared" si="445"/>
        <v>49491</v>
      </c>
      <c r="D636" s="36">
        <f t="shared" ref="D636" si="511">IF(WEEKDAY((DATE(A634,B634,1)))&gt;4,(7-(WEEKDAY((DATE(A634,B634,1)))-4))+(DATE(A634,B634,1)),4-WEEKDAY((DATE(A634,B634,1)))+(DATE(A634,B634,1)))+21</f>
        <v>49515</v>
      </c>
      <c r="E636" s="37">
        <f t="shared" si="489"/>
        <v>49515</v>
      </c>
      <c r="F636" s="14" t="str">
        <f t="shared" si="490"/>
        <v/>
      </c>
    </row>
    <row r="637" spans="1:6" ht="13.9" customHeight="1" x14ac:dyDescent="0.15">
      <c r="A637" s="10">
        <v>2035</v>
      </c>
      <c r="B637" s="10">
        <f t="shared" si="499"/>
        <v>8</v>
      </c>
      <c r="C637" s="67">
        <f t="shared" si="445"/>
        <v>49522</v>
      </c>
      <c r="D637" s="36">
        <f t="shared" ref="D637" si="512">IF(WEEKDAY((DATE(A637,B637,1)))&gt;4,(7-(WEEKDAY((DATE(A637,B637,1)))-4))+(DATE(A637,B637,1)),4-WEEKDAY((DATE(A637,B637,1)))+(DATE(A637,B637,1)))+7</f>
        <v>49529</v>
      </c>
      <c r="E637" s="37">
        <f t="shared" si="489"/>
        <v>49529</v>
      </c>
      <c r="F637" s="14" t="str">
        <f t="shared" si="490"/>
        <v/>
      </c>
    </row>
    <row r="638" spans="1:6" ht="13.9" customHeight="1" x14ac:dyDescent="0.15">
      <c r="A638" s="10">
        <v>2035</v>
      </c>
      <c r="B638" s="10">
        <f t="shared" si="499"/>
        <v>8</v>
      </c>
      <c r="C638" s="67">
        <f t="shared" ref="C638:C701" si="513">DATE(A638,B638,1)</f>
        <v>49522</v>
      </c>
      <c r="D638" s="38">
        <f t="shared" ref="D638" si="514">IF(WEEKDAY(DATE(A638,B638,1))&gt;3,(7-(WEEKDAY(DATE(A638,B638,1))-3))+DATE(A638,B638,1),3-WEEKDAY(DATE(A638,B638,1))+DATE(A638,B638,1))+14</f>
        <v>49542</v>
      </c>
      <c r="E638" s="37">
        <f t="shared" si="489"/>
        <v>49542</v>
      </c>
      <c r="F638" s="14" t="str">
        <f t="shared" si="490"/>
        <v/>
      </c>
    </row>
    <row r="639" spans="1:6" ht="13.9" customHeight="1" x14ac:dyDescent="0.15">
      <c r="A639" s="10">
        <v>2035</v>
      </c>
      <c r="B639" s="10">
        <f t="shared" si="499"/>
        <v>8</v>
      </c>
      <c r="C639" s="67">
        <f t="shared" si="513"/>
        <v>49522</v>
      </c>
      <c r="D639" s="36">
        <f t="shared" ref="D639" si="515">IF(WEEKDAY((DATE(A637,B637,1)))&gt;4,(7-(WEEKDAY((DATE(A637,B637,1)))-4))+(DATE(A637,B637,1)),4-WEEKDAY((DATE(A637,B637,1)))+(DATE(A637,B637,1)))+21</f>
        <v>49543</v>
      </c>
      <c r="E639" s="37">
        <f t="shared" si="489"/>
        <v>49543</v>
      </c>
      <c r="F639" s="14" t="str">
        <f t="shared" si="490"/>
        <v/>
      </c>
    </row>
    <row r="640" spans="1:6" ht="13.9" customHeight="1" x14ac:dyDescent="0.15">
      <c r="A640" s="10">
        <v>2035</v>
      </c>
      <c r="B640" s="10">
        <f t="shared" si="499"/>
        <v>9</v>
      </c>
      <c r="C640" s="67">
        <f t="shared" si="513"/>
        <v>49553</v>
      </c>
      <c r="D640" s="36">
        <f t="shared" ref="D640" si="516">IF(WEEKDAY((DATE(A640,B640,1)))&gt;4,(7-(WEEKDAY((DATE(A640,B640,1)))-4))+(DATE(A640,B640,1)),4-WEEKDAY((DATE(A640,B640,1)))+(DATE(A640,B640,1)))+7</f>
        <v>49564</v>
      </c>
      <c r="E640" s="37">
        <f t="shared" si="489"/>
        <v>49564</v>
      </c>
      <c r="F640" s="14" t="str">
        <f t="shared" si="490"/>
        <v/>
      </c>
    </row>
    <row r="641" spans="1:6" ht="13.9" customHeight="1" x14ac:dyDescent="0.15">
      <c r="A641" s="10">
        <v>2035</v>
      </c>
      <c r="B641" s="10">
        <f t="shared" si="499"/>
        <v>9</v>
      </c>
      <c r="C641" s="67">
        <f t="shared" si="513"/>
        <v>49553</v>
      </c>
      <c r="D641" s="38">
        <f t="shared" ref="D641" si="517">IF(WEEKDAY(DATE(A641,B641,1))&gt;3,(7-(WEEKDAY(DATE(A641,B641,1))-3))+DATE(A641,B641,1),3-WEEKDAY(DATE(A641,B641,1))+DATE(A641,B641,1))+14</f>
        <v>49570</v>
      </c>
      <c r="E641" s="37">
        <f t="shared" si="489"/>
        <v>49570</v>
      </c>
      <c r="F641" s="14" t="str">
        <f t="shared" si="490"/>
        <v/>
      </c>
    </row>
    <row r="642" spans="1:6" ht="13.9" customHeight="1" x14ac:dyDescent="0.15">
      <c r="A642" s="10">
        <v>2035</v>
      </c>
      <c r="B642" s="10">
        <f t="shared" si="499"/>
        <v>9</v>
      </c>
      <c r="C642" s="67">
        <f t="shared" si="513"/>
        <v>49553</v>
      </c>
      <c r="D642" s="36">
        <f t="shared" ref="D642" si="518">IF(WEEKDAY((DATE(A640,B640,1)))&gt;4,(7-(WEEKDAY((DATE(A640,B640,1)))-4))+(DATE(A640,B640,1)),4-WEEKDAY((DATE(A640,B640,1)))+(DATE(A640,B640,1)))+21</f>
        <v>49578</v>
      </c>
      <c r="E642" s="37">
        <f t="shared" si="489"/>
        <v>49578</v>
      </c>
      <c r="F642" s="14" t="str">
        <f t="shared" si="490"/>
        <v/>
      </c>
    </row>
    <row r="643" spans="1:6" ht="13.9" customHeight="1" x14ac:dyDescent="0.15">
      <c r="A643" s="10">
        <v>2035</v>
      </c>
      <c r="B643" s="10">
        <f t="shared" si="499"/>
        <v>10</v>
      </c>
      <c r="C643" s="67">
        <f t="shared" si="513"/>
        <v>49583</v>
      </c>
      <c r="D643" s="36">
        <f t="shared" ref="D643" si="519">IF(WEEKDAY((DATE(A643,B643,1)))&gt;4,(7-(WEEKDAY((DATE(A643,B643,1)))-4))+(DATE(A643,B643,1)),4-WEEKDAY((DATE(A643,B643,1)))+(DATE(A643,B643,1)))+7</f>
        <v>49592</v>
      </c>
      <c r="E643" s="37">
        <f t="shared" si="489"/>
        <v>49592</v>
      </c>
      <c r="F643" s="14" t="str">
        <f t="shared" si="490"/>
        <v/>
      </c>
    </row>
    <row r="644" spans="1:6" ht="13.9" customHeight="1" x14ac:dyDescent="0.15">
      <c r="A644" s="10">
        <v>2035</v>
      </c>
      <c r="B644" s="10">
        <f t="shared" si="499"/>
        <v>10</v>
      </c>
      <c r="C644" s="67">
        <f t="shared" si="513"/>
        <v>49583</v>
      </c>
      <c r="D644" s="38">
        <f t="shared" ref="D644" si="520">IF(WEEKDAY(DATE(A644,B644,1))&gt;3,(7-(WEEKDAY(DATE(A644,B644,1))-3))+DATE(A644,B644,1),3-WEEKDAY(DATE(A644,B644,1))+DATE(A644,B644,1))+14</f>
        <v>49598</v>
      </c>
      <c r="E644" s="37">
        <f t="shared" si="489"/>
        <v>49598</v>
      </c>
      <c r="F644" s="14" t="str">
        <f t="shared" si="490"/>
        <v/>
      </c>
    </row>
    <row r="645" spans="1:6" ht="13.9" customHeight="1" x14ac:dyDescent="0.15">
      <c r="A645" s="10">
        <v>2035</v>
      </c>
      <c r="B645" s="10">
        <f t="shared" si="499"/>
        <v>10</v>
      </c>
      <c r="C645" s="67">
        <f t="shared" si="513"/>
        <v>49583</v>
      </c>
      <c r="D645" s="36">
        <f t="shared" ref="D645" si="521">IF(WEEKDAY((DATE(A643,B643,1)))&gt;4,(7-(WEEKDAY((DATE(A643,B643,1)))-4))+(DATE(A643,B643,1)),4-WEEKDAY((DATE(A643,B643,1)))+(DATE(A643,B643,1)))+21</f>
        <v>49606</v>
      </c>
      <c r="E645" s="37">
        <f t="shared" si="489"/>
        <v>49606</v>
      </c>
      <c r="F645" s="14" t="str">
        <f t="shared" si="490"/>
        <v/>
      </c>
    </row>
    <row r="646" spans="1:6" ht="13.9" customHeight="1" x14ac:dyDescent="0.15">
      <c r="A646" s="10">
        <v>2035</v>
      </c>
      <c r="B646" s="10">
        <f t="shared" si="499"/>
        <v>11</v>
      </c>
      <c r="C646" s="67">
        <f t="shared" si="513"/>
        <v>49614</v>
      </c>
      <c r="D646" s="36">
        <f t="shared" ref="D646" si="522">IF(WEEKDAY((DATE(A646,B646,1)))&gt;4,(7-(WEEKDAY((DATE(A646,B646,1)))-4))+(DATE(A646,B646,1)),4-WEEKDAY((DATE(A646,B646,1)))+(DATE(A646,B646,1)))+7</f>
        <v>49627</v>
      </c>
      <c r="E646" s="37">
        <f t="shared" si="489"/>
        <v>49627</v>
      </c>
      <c r="F646" s="14" t="str">
        <f t="shared" si="490"/>
        <v/>
      </c>
    </row>
    <row r="647" spans="1:6" ht="13.9" customHeight="1" x14ac:dyDescent="0.15">
      <c r="A647" s="10">
        <v>2035</v>
      </c>
      <c r="B647" s="10">
        <f t="shared" si="499"/>
        <v>11</v>
      </c>
      <c r="C647" s="67">
        <f t="shared" si="513"/>
        <v>49614</v>
      </c>
      <c r="D647" s="38">
        <f t="shared" ref="D647" si="523">IF(WEEKDAY(DATE(A647,B647,1))&gt;3,(7-(WEEKDAY(DATE(A647,B647,1))-3))+DATE(A647,B647,1),3-WEEKDAY(DATE(A647,B647,1))+DATE(A647,B647,1))+14</f>
        <v>49633</v>
      </c>
      <c r="E647" s="37">
        <f t="shared" si="489"/>
        <v>49633</v>
      </c>
      <c r="F647" s="14" t="str">
        <f t="shared" si="490"/>
        <v/>
      </c>
    </row>
    <row r="648" spans="1:6" ht="13.9" customHeight="1" x14ac:dyDescent="0.15">
      <c r="A648" s="10">
        <v>2035</v>
      </c>
      <c r="B648" s="10">
        <f t="shared" si="499"/>
        <v>11</v>
      </c>
      <c r="C648" s="67">
        <f t="shared" si="513"/>
        <v>49614</v>
      </c>
      <c r="D648" s="36">
        <f t="shared" ref="D648" si="524">IF(WEEKDAY((DATE(A646,B646,1)))&gt;4,(7-(WEEKDAY((DATE(A646,B646,1)))-4))+(DATE(A646,B646,1)),4-WEEKDAY((DATE(A646,B646,1)))+(DATE(A646,B646,1)))+21</f>
        <v>49641</v>
      </c>
      <c r="E648" s="37">
        <f t="shared" si="489"/>
        <v>49641</v>
      </c>
      <c r="F648" s="14" t="str">
        <f t="shared" si="490"/>
        <v/>
      </c>
    </row>
    <row r="649" spans="1:6" ht="13.9" customHeight="1" x14ac:dyDescent="0.15">
      <c r="A649" s="10">
        <v>2035</v>
      </c>
      <c r="B649" s="10">
        <f t="shared" si="499"/>
        <v>12</v>
      </c>
      <c r="C649" s="67">
        <f t="shared" si="513"/>
        <v>49644</v>
      </c>
      <c r="D649" s="36">
        <f t="shared" ref="D649" si="525">IF(WEEKDAY((DATE(A649,B649,1)))&gt;4,(7-(WEEKDAY((DATE(A649,B649,1)))-4))+(DATE(A649,B649,1)),4-WEEKDAY((DATE(A649,B649,1)))+(DATE(A649,B649,1)))+7</f>
        <v>49655</v>
      </c>
      <c r="E649" s="37">
        <f t="shared" si="489"/>
        <v>49655</v>
      </c>
      <c r="F649" s="14" t="str">
        <f t="shared" si="490"/>
        <v/>
      </c>
    </row>
    <row r="650" spans="1:6" ht="13.9" customHeight="1" x14ac:dyDescent="0.15">
      <c r="A650" s="10">
        <v>2035</v>
      </c>
      <c r="B650" s="10">
        <f t="shared" si="499"/>
        <v>12</v>
      </c>
      <c r="C650" s="67">
        <f t="shared" si="513"/>
        <v>49644</v>
      </c>
      <c r="D650" s="38">
        <f t="shared" ref="D650" si="526">IF(WEEKDAY(DATE(A650,B650,1))&gt;3,(7-(WEEKDAY(DATE(A650,B650,1))-3))+DATE(A650,B650,1),3-WEEKDAY(DATE(A650,B650,1))+DATE(A650,B650,1))+14</f>
        <v>49661</v>
      </c>
      <c r="E650" s="37">
        <f t="shared" si="489"/>
        <v>49661</v>
      </c>
      <c r="F650" s="14" t="str">
        <f t="shared" si="490"/>
        <v/>
      </c>
    </row>
    <row r="651" spans="1:6" ht="13.9" customHeight="1" x14ac:dyDescent="0.15">
      <c r="A651" s="10">
        <v>2035</v>
      </c>
      <c r="B651" s="10">
        <f t="shared" si="499"/>
        <v>12</v>
      </c>
      <c r="C651" s="67">
        <f t="shared" si="513"/>
        <v>49644</v>
      </c>
      <c r="D651" s="36">
        <f t="shared" ref="D651" si="527">IF(WEEKDAY((DATE(A649,B649,1)))&gt;4,(7-(WEEKDAY((DATE(A649,B649,1)))-4))+(DATE(A649,B649,1)),4-WEEKDAY((DATE(A649,B649,1)))+(DATE(A649,B649,1)))+21</f>
        <v>49669</v>
      </c>
      <c r="E651" s="37">
        <f t="shared" si="489"/>
        <v>49669</v>
      </c>
      <c r="F651" s="14" t="str">
        <f t="shared" si="490"/>
        <v/>
      </c>
    </row>
    <row r="652" spans="1:6" ht="13.9" customHeight="1" x14ac:dyDescent="0.15">
      <c r="A652" s="10">
        <v>2036</v>
      </c>
      <c r="B652" s="10">
        <f t="shared" si="499"/>
        <v>1</v>
      </c>
      <c r="C652" s="67">
        <f t="shared" si="513"/>
        <v>49675</v>
      </c>
      <c r="D652" s="36">
        <f t="shared" ref="D652" si="528">IF(WEEKDAY((DATE(A652,B652,1)))&gt;4,(7-(WEEKDAY((DATE(A652,B652,1)))-4))+(DATE(A652,B652,1)),4-WEEKDAY((DATE(A652,B652,1)))+(DATE(A652,B652,1)))+7</f>
        <v>49683</v>
      </c>
      <c r="E652" s="37">
        <f t="shared" si="489"/>
        <v>49683</v>
      </c>
      <c r="F652" s="14" t="str">
        <f t="shared" si="490"/>
        <v/>
      </c>
    </row>
    <row r="653" spans="1:6" ht="13.9" customHeight="1" x14ac:dyDescent="0.15">
      <c r="A653" s="10">
        <v>2036</v>
      </c>
      <c r="B653" s="10">
        <f t="shared" si="499"/>
        <v>1</v>
      </c>
      <c r="C653" s="67">
        <f t="shared" si="513"/>
        <v>49675</v>
      </c>
      <c r="D653" s="38">
        <f t="shared" ref="D653" si="529">IF(WEEKDAY(DATE(A653,B653,1))&gt;3,(7-(WEEKDAY(DATE(A653,B653,1))-3))+DATE(A653,B653,1),3-WEEKDAY(DATE(A653,B653,1))+DATE(A653,B653,1))+14</f>
        <v>49689</v>
      </c>
      <c r="E653" s="37">
        <f t="shared" si="489"/>
        <v>49689</v>
      </c>
      <c r="F653" s="14" t="str">
        <f t="shared" si="490"/>
        <v/>
      </c>
    </row>
    <row r="654" spans="1:6" ht="13.9" customHeight="1" x14ac:dyDescent="0.15">
      <c r="A654" s="10">
        <v>2036</v>
      </c>
      <c r="B654" s="10">
        <f t="shared" si="499"/>
        <v>1</v>
      </c>
      <c r="C654" s="67">
        <f t="shared" si="513"/>
        <v>49675</v>
      </c>
      <c r="D654" s="36">
        <f t="shared" ref="D654" si="530">IF(WEEKDAY((DATE(A652,B652,1)))&gt;4,(7-(WEEKDAY((DATE(A652,B652,1)))-4))+(DATE(A652,B652,1)),4-WEEKDAY((DATE(A652,B652,1)))+(DATE(A652,B652,1)))+21</f>
        <v>49697</v>
      </c>
      <c r="E654" s="37">
        <f t="shared" si="489"/>
        <v>49697</v>
      </c>
      <c r="F654" s="14" t="str">
        <f t="shared" si="490"/>
        <v/>
      </c>
    </row>
    <row r="655" spans="1:6" ht="13.9" customHeight="1" x14ac:dyDescent="0.15">
      <c r="A655" s="10">
        <v>2036</v>
      </c>
      <c r="B655" s="10">
        <f t="shared" si="499"/>
        <v>2</v>
      </c>
      <c r="C655" s="67">
        <f t="shared" si="513"/>
        <v>49706</v>
      </c>
      <c r="D655" s="36">
        <f t="shared" ref="D655" si="531">IF(WEEKDAY((DATE(A655,B655,1)))&gt;4,(7-(WEEKDAY((DATE(A655,B655,1)))-4))+(DATE(A655,B655,1)),4-WEEKDAY((DATE(A655,B655,1)))+(DATE(A655,B655,1)))+7</f>
        <v>49718</v>
      </c>
      <c r="E655" s="37">
        <f t="shared" si="489"/>
        <v>49718</v>
      </c>
      <c r="F655" s="14" t="str">
        <f t="shared" si="490"/>
        <v/>
      </c>
    </row>
    <row r="656" spans="1:6" ht="13.9" customHeight="1" x14ac:dyDescent="0.15">
      <c r="A656" s="10">
        <v>2036</v>
      </c>
      <c r="B656" s="10">
        <f t="shared" si="499"/>
        <v>2</v>
      </c>
      <c r="C656" s="67">
        <f t="shared" si="513"/>
        <v>49706</v>
      </c>
      <c r="D656" s="38">
        <f t="shared" ref="D656" si="532">IF(WEEKDAY(DATE(A656,B656,1))&gt;3,(7-(WEEKDAY(DATE(A656,B656,1))-3))+DATE(A656,B656,1),3-WEEKDAY(DATE(A656,B656,1))+DATE(A656,B656,1))+14</f>
        <v>49724</v>
      </c>
      <c r="E656" s="37">
        <f t="shared" si="489"/>
        <v>49724</v>
      </c>
      <c r="F656" s="14" t="str">
        <f t="shared" si="490"/>
        <v/>
      </c>
    </row>
    <row r="657" spans="1:6" ht="13.9" customHeight="1" x14ac:dyDescent="0.15">
      <c r="A657" s="10">
        <v>2036</v>
      </c>
      <c r="B657" s="10">
        <f t="shared" si="499"/>
        <v>2</v>
      </c>
      <c r="C657" s="67">
        <f t="shared" si="513"/>
        <v>49706</v>
      </c>
      <c r="D657" s="36">
        <f t="shared" ref="D657" si="533">IF(WEEKDAY((DATE(A655,B655,1)))&gt;4,(7-(WEEKDAY((DATE(A655,B655,1)))-4))+(DATE(A655,B655,1)),4-WEEKDAY((DATE(A655,B655,1)))+(DATE(A655,B655,1)))+21</f>
        <v>49732</v>
      </c>
      <c r="E657" s="37">
        <f t="shared" si="489"/>
        <v>49732</v>
      </c>
      <c r="F657" s="14" t="str">
        <f t="shared" si="490"/>
        <v/>
      </c>
    </row>
    <row r="658" spans="1:6" ht="13.9" customHeight="1" x14ac:dyDescent="0.15">
      <c r="A658" s="10">
        <v>2036</v>
      </c>
      <c r="B658" s="10">
        <f t="shared" si="499"/>
        <v>3</v>
      </c>
      <c r="C658" s="67">
        <f t="shared" si="513"/>
        <v>49735</v>
      </c>
      <c r="D658" s="36">
        <f t="shared" ref="D658" si="534">IF(WEEKDAY((DATE(A658,B658,1)))&gt;4,(7-(WEEKDAY((DATE(A658,B658,1)))-4))+(DATE(A658,B658,1)),4-WEEKDAY((DATE(A658,B658,1)))+(DATE(A658,B658,1)))+7</f>
        <v>49746</v>
      </c>
      <c r="E658" s="37">
        <f t="shared" si="489"/>
        <v>49746</v>
      </c>
      <c r="F658" s="14" t="str">
        <f t="shared" si="490"/>
        <v/>
      </c>
    </row>
    <row r="659" spans="1:6" ht="13.9" customHeight="1" x14ac:dyDescent="0.15">
      <c r="A659" s="10">
        <v>2036</v>
      </c>
      <c r="B659" s="10">
        <f t="shared" si="499"/>
        <v>3</v>
      </c>
      <c r="C659" s="67">
        <f t="shared" si="513"/>
        <v>49735</v>
      </c>
      <c r="D659" s="38">
        <f t="shared" ref="D659" si="535">IF(WEEKDAY(DATE(A659,B659,1))&gt;3,(7-(WEEKDAY(DATE(A659,B659,1))-3))+DATE(A659,B659,1),3-WEEKDAY(DATE(A659,B659,1))+DATE(A659,B659,1))+14</f>
        <v>49752</v>
      </c>
      <c r="E659" s="37">
        <f t="shared" si="489"/>
        <v>49752</v>
      </c>
      <c r="F659" s="14" t="str">
        <f t="shared" si="490"/>
        <v/>
      </c>
    </row>
    <row r="660" spans="1:6" ht="13.9" customHeight="1" x14ac:dyDescent="0.15">
      <c r="A660" s="10">
        <v>2036</v>
      </c>
      <c r="B660" s="10">
        <f t="shared" si="499"/>
        <v>3</v>
      </c>
      <c r="C660" s="67">
        <f t="shared" si="513"/>
        <v>49735</v>
      </c>
      <c r="D660" s="36">
        <f t="shared" ref="D660" si="536">IF(WEEKDAY((DATE(A658,B658,1)))&gt;4,(7-(WEEKDAY((DATE(A658,B658,1)))-4))+(DATE(A658,B658,1)),4-WEEKDAY((DATE(A658,B658,1)))+(DATE(A658,B658,1)))+21</f>
        <v>49760</v>
      </c>
      <c r="E660" s="37">
        <f t="shared" si="489"/>
        <v>49760</v>
      </c>
      <c r="F660" s="14" t="str">
        <f t="shared" si="490"/>
        <v/>
      </c>
    </row>
    <row r="661" spans="1:6" ht="13.9" customHeight="1" x14ac:dyDescent="0.15">
      <c r="A661" s="10">
        <v>2036</v>
      </c>
      <c r="B661" s="10">
        <f t="shared" si="499"/>
        <v>4</v>
      </c>
      <c r="C661" s="67">
        <f t="shared" si="513"/>
        <v>49766</v>
      </c>
      <c r="D661" s="36">
        <f t="shared" ref="D661" si="537">IF(WEEKDAY((DATE(A661,B661,1)))&gt;4,(7-(WEEKDAY((DATE(A661,B661,1)))-4))+(DATE(A661,B661,1)),4-WEEKDAY((DATE(A661,B661,1)))+(DATE(A661,B661,1)))+7</f>
        <v>49774</v>
      </c>
      <c r="E661" s="37">
        <f t="shared" si="489"/>
        <v>49774</v>
      </c>
      <c r="F661" s="14" t="str">
        <f t="shared" si="490"/>
        <v/>
      </c>
    </row>
    <row r="662" spans="1:6" ht="13.9" customHeight="1" x14ac:dyDescent="0.15">
      <c r="A662" s="10">
        <v>2036</v>
      </c>
      <c r="B662" s="10">
        <f t="shared" si="499"/>
        <v>4</v>
      </c>
      <c r="C662" s="67">
        <f t="shared" si="513"/>
        <v>49766</v>
      </c>
      <c r="D662" s="38">
        <f t="shared" ref="D662" si="538">IF(WEEKDAY(DATE(A662,B662,1))&gt;3,(7-(WEEKDAY(DATE(A662,B662,1))-3))+DATE(A662,B662,1),3-WEEKDAY(DATE(A662,B662,1))+DATE(A662,B662,1))+14</f>
        <v>49780</v>
      </c>
      <c r="E662" s="37">
        <f t="shared" si="489"/>
        <v>49780</v>
      </c>
      <c r="F662" s="14" t="str">
        <f t="shared" si="490"/>
        <v/>
      </c>
    </row>
    <row r="663" spans="1:6" ht="13.9" customHeight="1" x14ac:dyDescent="0.15">
      <c r="A663" s="10">
        <v>2036</v>
      </c>
      <c r="B663" s="10">
        <f t="shared" si="499"/>
        <v>4</v>
      </c>
      <c r="C663" s="67">
        <f t="shared" si="513"/>
        <v>49766</v>
      </c>
      <c r="D663" s="36">
        <f t="shared" ref="D663" si="539">IF(WEEKDAY((DATE(A661,B661,1)))&gt;4,(7-(WEEKDAY((DATE(A661,B661,1)))-4))+(DATE(A661,B661,1)),4-WEEKDAY((DATE(A661,B661,1)))+(DATE(A661,B661,1)))+21</f>
        <v>49788</v>
      </c>
      <c r="E663" s="37">
        <f t="shared" si="489"/>
        <v>49788</v>
      </c>
      <c r="F663" s="14" t="str">
        <f t="shared" si="490"/>
        <v/>
      </c>
    </row>
    <row r="664" spans="1:6" ht="13.9" customHeight="1" x14ac:dyDescent="0.15">
      <c r="A664" s="10">
        <v>2036</v>
      </c>
      <c r="B664" s="10">
        <f t="shared" si="499"/>
        <v>5</v>
      </c>
      <c r="C664" s="67">
        <f t="shared" si="513"/>
        <v>49796</v>
      </c>
      <c r="D664" s="36">
        <f t="shared" ref="D664" si="540">IF(WEEKDAY((DATE(A664,B664,1)))&gt;4,(7-(WEEKDAY((DATE(A664,B664,1)))-4))+(DATE(A664,B664,1)),4-WEEKDAY((DATE(A664,B664,1)))+(DATE(A664,B664,1)))+7</f>
        <v>49809</v>
      </c>
      <c r="E664" s="37">
        <f t="shared" si="489"/>
        <v>49809</v>
      </c>
      <c r="F664" s="14" t="str">
        <f t="shared" si="490"/>
        <v/>
      </c>
    </row>
    <row r="665" spans="1:6" ht="13.9" customHeight="1" x14ac:dyDescent="0.15">
      <c r="A665" s="10">
        <v>2036</v>
      </c>
      <c r="B665" s="10">
        <f t="shared" si="499"/>
        <v>5</v>
      </c>
      <c r="C665" s="67">
        <f t="shared" si="513"/>
        <v>49796</v>
      </c>
      <c r="D665" s="38">
        <f t="shared" ref="D665" si="541">IF(WEEKDAY(DATE(A665,B665,1))&gt;3,(7-(WEEKDAY(DATE(A665,B665,1))-3))+DATE(A665,B665,1),3-WEEKDAY(DATE(A665,B665,1))+DATE(A665,B665,1))+14</f>
        <v>49815</v>
      </c>
      <c r="E665" s="37">
        <f t="shared" si="489"/>
        <v>49815</v>
      </c>
      <c r="F665" s="14" t="str">
        <f t="shared" si="490"/>
        <v/>
      </c>
    </row>
    <row r="666" spans="1:6" ht="13.9" customHeight="1" x14ac:dyDescent="0.15">
      <c r="A666" s="10">
        <v>2036</v>
      </c>
      <c r="B666" s="10">
        <f t="shared" si="499"/>
        <v>5</v>
      </c>
      <c r="C666" s="67">
        <f t="shared" si="513"/>
        <v>49796</v>
      </c>
      <c r="D666" s="36">
        <f t="shared" ref="D666" si="542">IF(WEEKDAY((DATE(A664,B664,1)))&gt;4,(7-(WEEKDAY((DATE(A664,B664,1)))-4))+(DATE(A664,B664,1)),4-WEEKDAY((DATE(A664,B664,1)))+(DATE(A664,B664,1)))+21</f>
        <v>49823</v>
      </c>
      <c r="E666" s="37">
        <f t="shared" si="489"/>
        <v>49823</v>
      </c>
      <c r="F666" s="14" t="str">
        <f t="shared" si="490"/>
        <v/>
      </c>
    </row>
    <row r="667" spans="1:6" ht="13.9" customHeight="1" x14ac:dyDescent="0.15">
      <c r="A667" s="10">
        <v>2036</v>
      </c>
      <c r="B667" s="10">
        <f t="shared" si="499"/>
        <v>6</v>
      </c>
      <c r="C667" s="67">
        <f t="shared" si="513"/>
        <v>49827</v>
      </c>
      <c r="D667" s="36">
        <f t="shared" ref="D667" si="543">IF(WEEKDAY((DATE(A667,B667,1)))&gt;4,(7-(WEEKDAY((DATE(A667,B667,1)))-4))+(DATE(A667,B667,1)),4-WEEKDAY((DATE(A667,B667,1)))+(DATE(A667,B667,1)))+7</f>
        <v>49837</v>
      </c>
      <c r="E667" s="37">
        <f t="shared" si="489"/>
        <v>49837</v>
      </c>
      <c r="F667" s="14" t="str">
        <f t="shared" si="490"/>
        <v/>
      </c>
    </row>
    <row r="668" spans="1:6" ht="13.9" customHeight="1" x14ac:dyDescent="0.15">
      <c r="A668" s="10">
        <v>2036</v>
      </c>
      <c r="B668" s="10">
        <f t="shared" si="499"/>
        <v>6</v>
      </c>
      <c r="C668" s="67">
        <f t="shared" si="513"/>
        <v>49827</v>
      </c>
      <c r="D668" s="38">
        <f t="shared" ref="D668" si="544">IF(WEEKDAY(DATE(A668,B668,1))&gt;3,(7-(WEEKDAY(DATE(A668,B668,1))-3))+DATE(A668,B668,1),3-WEEKDAY(DATE(A668,B668,1))+DATE(A668,B668,1))+14</f>
        <v>49843</v>
      </c>
      <c r="E668" s="37">
        <f t="shared" si="489"/>
        <v>49843</v>
      </c>
      <c r="F668" s="14" t="str">
        <f t="shared" si="490"/>
        <v/>
      </c>
    </row>
    <row r="669" spans="1:6" ht="13.9" customHeight="1" x14ac:dyDescent="0.15">
      <c r="A669" s="10">
        <v>2036</v>
      </c>
      <c r="B669" s="10">
        <f t="shared" si="499"/>
        <v>6</v>
      </c>
      <c r="C669" s="67">
        <f t="shared" si="513"/>
        <v>49827</v>
      </c>
      <c r="D669" s="36">
        <f t="shared" ref="D669" si="545">IF(WEEKDAY((DATE(A667,B667,1)))&gt;4,(7-(WEEKDAY((DATE(A667,B667,1)))-4))+(DATE(A667,B667,1)),4-WEEKDAY((DATE(A667,B667,1)))+(DATE(A667,B667,1)))+21</f>
        <v>49851</v>
      </c>
      <c r="E669" s="37">
        <f t="shared" si="489"/>
        <v>49851</v>
      </c>
      <c r="F669" s="14" t="str">
        <f t="shared" si="490"/>
        <v/>
      </c>
    </row>
    <row r="670" spans="1:6" ht="13.9" customHeight="1" x14ac:dyDescent="0.15">
      <c r="A670" s="10">
        <v>2036</v>
      </c>
      <c r="B670" s="10">
        <f t="shared" si="499"/>
        <v>7</v>
      </c>
      <c r="C670" s="67">
        <f t="shared" si="513"/>
        <v>49857</v>
      </c>
      <c r="D670" s="36">
        <f t="shared" ref="D670" si="546">IF(WEEKDAY((DATE(A670,B670,1)))&gt;4,(7-(WEEKDAY((DATE(A670,B670,1)))-4))+(DATE(A670,B670,1)),4-WEEKDAY((DATE(A670,B670,1)))+(DATE(A670,B670,1)))+7</f>
        <v>49865</v>
      </c>
      <c r="E670" s="37">
        <f t="shared" si="489"/>
        <v>49865</v>
      </c>
      <c r="F670" s="14" t="str">
        <f t="shared" si="490"/>
        <v/>
      </c>
    </row>
    <row r="671" spans="1:6" ht="13.9" customHeight="1" x14ac:dyDescent="0.15">
      <c r="A671" s="10">
        <v>2036</v>
      </c>
      <c r="B671" s="10">
        <f t="shared" si="499"/>
        <v>7</v>
      </c>
      <c r="C671" s="67">
        <f t="shared" si="513"/>
        <v>49857</v>
      </c>
      <c r="D671" s="38">
        <f t="shared" ref="D671" si="547">IF(WEEKDAY(DATE(A671,B671,1))&gt;3,(7-(WEEKDAY(DATE(A671,B671,1))-3))+DATE(A671,B671,1),3-WEEKDAY(DATE(A671,B671,1))+DATE(A671,B671,1))+14</f>
        <v>49871</v>
      </c>
      <c r="E671" s="37">
        <f t="shared" si="489"/>
        <v>49871</v>
      </c>
      <c r="F671" s="14" t="str">
        <f t="shared" si="490"/>
        <v/>
      </c>
    </row>
    <row r="672" spans="1:6" ht="13.9" customHeight="1" x14ac:dyDescent="0.15">
      <c r="A672" s="10">
        <v>2036</v>
      </c>
      <c r="B672" s="10">
        <f t="shared" si="499"/>
        <v>7</v>
      </c>
      <c r="C672" s="67">
        <f t="shared" si="513"/>
        <v>49857</v>
      </c>
      <c r="D672" s="36">
        <f t="shared" ref="D672" si="548">IF(WEEKDAY((DATE(A670,B670,1)))&gt;4,(7-(WEEKDAY((DATE(A670,B670,1)))-4))+(DATE(A670,B670,1)),4-WEEKDAY((DATE(A670,B670,1)))+(DATE(A670,B670,1)))+21</f>
        <v>49879</v>
      </c>
      <c r="E672" s="37">
        <f t="shared" si="489"/>
        <v>49879</v>
      </c>
      <c r="F672" s="14" t="str">
        <f t="shared" si="490"/>
        <v/>
      </c>
    </row>
    <row r="673" spans="1:6" ht="13.9" customHeight="1" x14ac:dyDescent="0.15">
      <c r="A673" s="10">
        <v>2036</v>
      </c>
      <c r="B673" s="10">
        <f t="shared" si="499"/>
        <v>8</v>
      </c>
      <c r="C673" s="67">
        <f t="shared" si="513"/>
        <v>49888</v>
      </c>
      <c r="D673" s="36">
        <f t="shared" ref="D673" si="549">IF(WEEKDAY((DATE(A673,B673,1)))&gt;4,(7-(WEEKDAY((DATE(A673,B673,1)))-4))+(DATE(A673,B673,1)),4-WEEKDAY((DATE(A673,B673,1)))+(DATE(A673,B673,1)))+7</f>
        <v>49900</v>
      </c>
      <c r="E673" s="37">
        <f t="shared" si="489"/>
        <v>49900</v>
      </c>
      <c r="F673" s="14" t="str">
        <f t="shared" si="490"/>
        <v/>
      </c>
    </row>
    <row r="674" spans="1:6" ht="13.9" customHeight="1" x14ac:dyDescent="0.15">
      <c r="A674" s="10">
        <v>2036</v>
      </c>
      <c r="B674" s="10">
        <f t="shared" si="499"/>
        <v>8</v>
      </c>
      <c r="C674" s="67">
        <f t="shared" si="513"/>
        <v>49888</v>
      </c>
      <c r="D674" s="38">
        <f t="shared" ref="D674" si="550">IF(WEEKDAY(DATE(A674,B674,1))&gt;3,(7-(WEEKDAY(DATE(A674,B674,1))-3))+DATE(A674,B674,1),3-WEEKDAY(DATE(A674,B674,1))+DATE(A674,B674,1))+14</f>
        <v>49906</v>
      </c>
      <c r="E674" s="37">
        <f t="shared" si="489"/>
        <v>49906</v>
      </c>
      <c r="F674" s="14" t="str">
        <f t="shared" si="490"/>
        <v/>
      </c>
    </row>
    <row r="675" spans="1:6" ht="13.9" customHeight="1" x14ac:dyDescent="0.15">
      <c r="A675" s="10">
        <v>2036</v>
      </c>
      <c r="B675" s="10">
        <f t="shared" si="499"/>
        <v>8</v>
      </c>
      <c r="C675" s="67">
        <f t="shared" si="513"/>
        <v>49888</v>
      </c>
      <c r="D675" s="36">
        <f t="shared" ref="D675" si="551">IF(WEEKDAY((DATE(A673,B673,1)))&gt;4,(7-(WEEKDAY((DATE(A673,B673,1)))-4))+(DATE(A673,B673,1)),4-WEEKDAY((DATE(A673,B673,1)))+(DATE(A673,B673,1)))+21</f>
        <v>49914</v>
      </c>
      <c r="E675" s="37">
        <f t="shared" si="489"/>
        <v>49914</v>
      </c>
      <c r="F675" s="14" t="str">
        <f t="shared" si="490"/>
        <v/>
      </c>
    </row>
    <row r="676" spans="1:6" ht="13.9" customHeight="1" x14ac:dyDescent="0.15">
      <c r="A676" s="10">
        <v>2036</v>
      </c>
      <c r="B676" s="10">
        <f t="shared" si="499"/>
        <v>9</v>
      </c>
      <c r="C676" s="67">
        <f t="shared" si="513"/>
        <v>49919</v>
      </c>
      <c r="D676" s="36">
        <f t="shared" ref="D676" si="552">IF(WEEKDAY((DATE(A676,B676,1)))&gt;4,(7-(WEEKDAY((DATE(A676,B676,1)))-4))+(DATE(A676,B676,1)),4-WEEKDAY((DATE(A676,B676,1)))+(DATE(A676,B676,1)))+7</f>
        <v>49928</v>
      </c>
      <c r="E676" s="37">
        <f t="shared" si="489"/>
        <v>49928</v>
      </c>
      <c r="F676" s="14" t="str">
        <f t="shared" si="490"/>
        <v/>
      </c>
    </row>
    <row r="677" spans="1:6" ht="13.9" customHeight="1" x14ac:dyDescent="0.15">
      <c r="A677" s="10">
        <v>2036</v>
      </c>
      <c r="B677" s="10">
        <f t="shared" si="499"/>
        <v>9</v>
      </c>
      <c r="C677" s="67">
        <f t="shared" si="513"/>
        <v>49919</v>
      </c>
      <c r="D677" s="38">
        <f t="shared" ref="D677" si="553">IF(WEEKDAY(DATE(A677,B677,1))&gt;3,(7-(WEEKDAY(DATE(A677,B677,1))-3))+DATE(A677,B677,1),3-WEEKDAY(DATE(A677,B677,1))+DATE(A677,B677,1))+14</f>
        <v>49934</v>
      </c>
      <c r="E677" s="37">
        <f t="shared" si="489"/>
        <v>49934</v>
      </c>
      <c r="F677" s="14" t="str">
        <f t="shared" si="490"/>
        <v/>
      </c>
    </row>
    <row r="678" spans="1:6" ht="13.9" customHeight="1" x14ac:dyDescent="0.15">
      <c r="A678" s="10">
        <v>2036</v>
      </c>
      <c r="B678" s="10">
        <f t="shared" si="499"/>
        <v>9</v>
      </c>
      <c r="C678" s="67">
        <f t="shared" si="513"/>
        <v>49919</v>
      </c>
      <c r="D678" s="36">
        <f t="shared" ref="D678" si="554">IF(WEEKDAY((DATE(A676,B676,1)))&gt;4,(7-(WEEKDAY((DATE(A676,B676,1)))-4))+(DATE(A676,B676,1)),4-WEEKDAY((DATE(A676,B676,1)))+(DATE(A676,B676,1)))+21</f>
        <v>49942</v>
      </c>
      <c r="E678" s="37">
        <f t="shared" si="489"/>
        <v>49942</v>
      </c>
      <c r="F678" s="14" t="str">
        <f t="shared" si="490"/>
        <v/>
      </c>
    </row>
    <row r="679" spans="1:6" ht="13.9" customHeight="1" x14ac:dyDescent="0.15">
      <c r="A679" s="10">
        <v>2036</v>
      </c>
      <c r="B679" s="10">
        <f t="shared" si="499"/>
        <v>10</v>
      </c>
      <c r="C679" s="67">
        <f t="shared" si="513"/>
        <v>49949</v>
      </c>
      <c r="D679" s="36">
        <f t="shared" ref="D679" si="555">IF(WEEKDAY((DATE(A679,B679,1)))&gt;4,(7-(WEEKDAY((DATE(A679,B679,1)))-4))+(DATE(A679,B679,1)),4-WEEKDAY((DATE(A679,B679,1)))+(DATE(A679,B679,1)))+7</f>
        <v>49956</v>
      </c>
      <c r="E679" s="37">
        <f t="shared" si="489"/>
        <v>49956</v>
      </c>
      <c r="F679" s="14" t="str">
        <f t="shared" si="490"/>
        <v/>
      </c>
    </row>
    <row r="680" spans="1:6" ht="13.9" customHeight="1" x14ac:dyDescent="0.15">
      <c r="A680" s="10">
        <v>2036</v>
      </c>
      <c r="B680" s="10">
        <f t="shared" si="499"/>
        <v>10</v>
      </c>
      <c r="C680" s="67">
        <f t="shared" si="513"/>
        <v>49949</v>
      </c>
      <c r="D680" s="38">
        <f t="shared" ref="D680" si="556">IF(WEEKDAY(DATE(A680,B680,1))&gt;3,(7-(WEEKDAY(DATE(A680,B680,1))-3))+DATE(A680,B680,1),3-WEEKDAY(DATE(A680,B680,1))+DATE(A680,B680,1))+14</f>
        <v>49969</v>
      </c>
      <c r="E680" s="37">
        <f t="shared" ref="E680:E743" si="557">D680</f>
        <v>49969</v>
      </c>
      <c r="F680" s="14" t="str">
        <f t="shared" ref="F680:F743" si="558">IFERROR(INDEX($H$1:$AN$1,1,MATCH(1,H680:AN680)),"")</f>
        <v/>
      </c>
    </row>
    <row r="681" spans="1:6" ht="13.9" customHeight="1" x14ac:dyDescent="0.15">
      <c r="A681" s="10">
        <v>2036</v>
      </c>
      <c r="B681" s="10">
        <f t="shared" si="499"/>
        <v>10</v>
      </c>
      <c r="C681" s="67">
        <f t="shared" si="513"/>
        <v>49949</v>
      </c>
      <c r="D681" s="36">
        <f t="shared" ref="D681" si="559">IF(WEEKDAY((DATE(A679,B679,1)))&gt;4,(7-(WEEKDAY((DATE(A679,B679,1)))-4))+(DATE(A679,B679,1)),4-WEEKDAY((DATE(A679,B679,1)))+(DATE(A679,B679,1)))+21</f>
        <v>49970</v>
      </c>
      <c r="E681" s="37">
        <f t="shared" si="557"/>
        <v>49970</v>
      </c>
      <c r="F681" s="14" t="str">
        <f t="shared" si="558"/>
        <v/>
      </c>
    </row>
    <row r="682" spans="1:6" ht="13.9" customHeight="1" x14ac:dyDescent="0.15">
      <c r="A682" s="10">
        <v>2036</v>
      </c>
      <c r="B682" s="10">
        <f t="shared" si="499"/>
        <v>11</v>
      </c>
      <c r="C682" s="67">
        <f t="shared" si="513"/>
        <v>49980</v>
      </c>
      <c r="D682" s="36">
        <f t="shared" ref="D682" si="560">IF(WEEKDAY((DATE(A682,B682,1)))&gt;4,(7-(WEEKDAY((DATE(A682,B682,1)))-4))+(DATE(A682,B682,1)),4-WEEKDAY((DATE(A682,B682,1)))+(DATE(A682,B682,1)))+7</f>
        <v>49991</v>
      </c>
      <c r="E682" s="37">
        <f t="shared" si="557"/>
        <v>49991</v>
      </c>
      <c r="F682" s="14" t="str">
        <f t="shared" si="558"/>
        <v/>
      </c>
    </row>
    <row r="683" spans="1:6" ht="13.9" customHeight="1" x14ac:dyDescent="0.15">
      <c r="A683" s="10">
        <v>2036</v>
      </c>
      <c r="B683" s="10">
        <f t="shared" si="499"/>
        <v>11</v>
      </c>
      <c r="C683" s="67">
        <f t="shared" si="513"/>
        <v>49980</v>
      </c>
      <c r="D683" s="38">
        <f t="shared" ref="D683" si="561">IF(WEEKDAY(DATE(A683,B683,1))&gt;3,(7-(WEEKDAY(DATE(A683,B683,1))-3))+DATE(A683,B683,1),3-WEEKDAY(DATE(A683,B683,1))+DATE(A683,B683,1))+14</f>
        <v>49997</v>
      </c>
      <c r="E683" s="37">
        <f t="shared" si="557"/>
        <v>49997</v>
      </c>
      <c r="F683" s="14" t="str">
        <f t="shared" si="558"/>
        <v/>
      </c>
    </row>
    <row r="684" spans="1:6" ht="13.9" customHeight="1" x14ac:dyDescent="0.15">
      <c r="A684" s="10">
        <v>2036</v>
      </c>
      <c r="B684" s="10">
        <f t="shared" si="499"/>
        <v>11</v>
      </c>
      <c r="C684" s="67">
        <f t="shared" si="513"/>
        <v>49980</v>
      </c>
      <c r="D684" s="36">
        <f t="shared" ref="D684" si="562">IF(WEEKDAY((DATE(A682,B682,1)))&gt;4,(7-(WEEKDAY((DATE(A682,B682,1)))-4))+(DATE(A682,B682,1)),4-WEEKDAY((DATE(A682,B682,1)))+(DATE(A682,B682,1)))+21</f>
        <v>50005</v>
      </c>
      <c r="E684" s="37">
        <f t="shared" si="557"/>
        <v>50005</v>
      </c>
      <c r="F684" s="14" t="str">
        <f t="shared" si="558"/>
        <v/>
      </c>
    </row>
    <row r="685" spans="1:6" ht="13.9" customHeight="1" x14ac:dyDescent="0.15">
      <c r="A685" s="10">
        <v>2036</v>
      </c>
      <c r="B685" s="10">
        <f t="shared" si="499"/>
        <v>12</v>
      </c>
      <c r="C685" s="67">
        <f t="shared" si="513"/>
        <v>50010</v>
      </c>
      <c r="D685" s="36">
        <f t="shared" ref="D685" si="563">IF(WEEKDAY((DATE(A685,B685,1)))&gt;4,(7-(WEEKDAY((DATE(A685,B685,1)))-4))+(DATE(A685,B685,1)),4-WEEKDAY((DATE(A685,B685,1)))+(DATE(A685,B685,1)))+7</f>
        <v>50019</v>
      </c>
      <c r="E685" s="37">
        <f t="shared" si="557"/>
        <v>50019</v>
      </c>
      <c r="F685" s="14" t="str">
        <f t="shared" si="558"/>
        <v/>
      </c>
    </row>
    <row r="686" spans="1:6" ht="13.9" customHeight="1" x14ac:dyDescent="0.15">
      <c r="A686" s="10">
        <v>2036</v>
      </c>
      <c r="B686" s="10">
        <f t="shared" si="499"/>
        <v>12</v>
      </c>
      <c r="C686" s="67">
        <f t="shared" si="513"/>
        <v>50010</v>
      </c>
      <c r="D686" s="38">
        <f t="shared" ref="D686" si="564">IF(WEEKDAY(DATE(A686,B686,1))&gt;3,(7-(WEEKDAY(DATE(A686,B686,1))-3))+DATE(A686,B686,1),3-WEEKDAY(DATE(A686,B686,1))+DATE(A686,B686,1))+14</f>
        <v>50025</v>
      </c>
      <c r="E686" s="37">
        <f t="shared" si="557"/>
        <v>50025</v>
      </c>
      <c r="F686" s="14" t="str">
        <f t="shared" si="558"/>
        <v/>
      </c>
    </row>
    <row r="687" spans="1:6" ht="13.9" customHeight="1" x14ac:dyDescent="0.15">
      <c r="A687" s="10">
        <v>2037</v>
      </c>
      <c r="B687" s="10">
        <f t="shared" si="499"/>
        <v>12</v>
      </c>
      <c r="C687" s="67">
        <f t="shared" si="513"/>
        <v>50375</v>
      </c>
      <c r="D687" s="36">
        <f t="shared" ref="D687" si="565">IF(WEEKDAY((DATE(A685,B685,1)))&gt;4,(7-(WEEKDAY((DATE(A685,B685,1)))-4))+(DATE(A685,B685,1)),4-WEEKDAY((DATE(A685,B685,1)))+(DATE(A685,B685,1)))+21</f>
        <v>50033</v>
      </c>
      <c r="E687" s="37">
        <f t="shared" si="557"/>
        <v>50033</v>
      </c>
      <c r="F687" s="14" t="str">
        <f t="shared" si="558"/>
        <v/>
      </c>
    </row>
    <row r="688" spans="1:6" ht="13.9" customHeight="1" x14ac:dyDescent="0.15">
      <c r="A688" s="10">
        <v>2037</v>
      </c>
      <c r="B688" s="10">
        <f t="shared" si="499"/>
        <v>1</v>
      </c>
      <c r="C688" s="67">
        <f t="shared" si="513"/>
        <v>50041</v>
      </c>
      <c r="D688" s="36">
        <f t="shared" ref="D688" si="566">IF(WEEKDAY((DATE(A688,B688,1)))&gt;4,(7-(WEEKDAY((DATE(A688,B688,1)))-4))+(DATE(A688,B688,1)),4-WEEKDAY((DATE(A688,B688,1)))+(DATE(A688,B688,1)))+7</f>
        <v>50054</v>
      </c>
      <c r="E688" s="37">
        <f t="shared" si="557"/>
        <v>50054</v>
      </c>
      <c r="F688" s="14" t="str">
        <f t="shared" si="558"/>
        <v/>
      </c>
    </row>
    <row r="689" spans="1:6" ht="13.9" customHeight="1" x14ac:dyDescent="0.15">
      <c r="A689" s="10">
        <v>2037</v>
      </c>
      <c r="B689" s="10">
        <f t="shared" ref="B689:B752" si="567">IF(B686+1&gt;12,B686+1-12,B686+1)</f>
        <v>1</v>
      </c>
      <c r="C689" s="67">
        <f t="shared" si="513"/>
        <v>50041</v>
      </c>
      <c r="D689" s="38">
        <f t="shared" ref="D689" si="568">IF(WEEKDAY(DATE(A689,B689,1))&gt;3,(7-(WEEKDAY(DATE(A689,B689,1))-3))+DATE(A689,B689,1),3-WEEKDAY(DATE(A689,B689,1))+DATE(A689,B689,1))+14</f>
        <v>50060</v>
      </c>
      <c r="E689" s="37">
        <f t="shared" si="557"/>
        <v>50060</v>
      </c>
      <c r="F689" s="14" t="str">
        <f t="shared" si="558"/>
        <v/>
      </c>
    </row>
    <row r="690" spans="1:6" ht="13.9" customHeight="1" x14ac:dyDescent="0.15">
      <c r="A690" s="10">
        <v>2037</v>
      </c>
      <c r="B690" s="10">
        <f t="shared" si="567"/>
        <v>1</v>
      </c>
      <c r="C690" s="67">
        <f t="shared" si="513"/>
        <v>50041</v>
      </c>
      <c r="D690" s="36">
        <f t="shared" ref="D690" si="569">IF(WEEKDAY((DATE(A688,B688,1)))&gt;4,(7-(WEEKDAY((DATE(A688,B688,1)))-4))+(DATE(A688,B688,1)),4-WEEKDAY((DATE(A688,B688,1)))+(DATE(A688,B688,1)))+21</f>
        <v>50068</v>
      </c>
      <c r="E690" s="37">
        <f t="shared" si="557"/>
        <v>50068</v>
      </c>
      <c r="F690" s="14" t="str">
        <f t="shared" si="558"/>
        <v/>
      </c>
    </row>
    <row r="691" spans="1:6" ht="13.9" customHeight="1" x14ac:dyDescent="0.15">
      <c r="A691" s="10">
        <v>2037</v>
      </c>
      <c r="B691" s="10">
        <f t="shared" si="567"/>
        <v>2</v>
      </c>
      <c r="C691" s="67">
        <f t="shared" si="513"/>
        <v>50072</v>
      </c>
      <c r="D691" s="36">
        <f t="shared" ref="D691" si="570">IF(WEEKDAY((DATE(A691,B691,1)))&gt;4,(7-(WEEKDAY((DATE(A691,B691,1)))-4))+(DATE(A691,B691,1)),4-WEEKDAY((DATE(A691,B691,1)))+(DATE(A691,B691,1)))+7</f>
        <v>50082</v>
      </c>
      <c r="E691" s="37">
        <f t="shared" si="557"/>
        <v>50082</v>
      </c>
      <c r="F691" s="14" t="str">
        <f t="shared" si="558"/>
        <v/>
      </c>
    </row>
    <row r="692" spans="1:6" ht="13.9" customHeight="1" x14ac:dyDescent="0.15">
      <c r="A692" s="10">
        <v>2037</v>
      </c>
      <c r="B692" s="10">
        <f t="shared" si="567"/>
        <v>2</v>
      </c>
      <c r="C692" s="67">
        <f t="shared" si="513"/>
        <v>50072</v>
      </c>
      <c r="D692" s="38">
        <f t="shared" ref="D692" si="571">IF(WEEKDAY(DATE(A692,B692,1))&gt;3,(7-(WEEKDAY(DATE(A692,B692,1))-3))+DATE(A692,B692,1),3-WEEKDAY(DATE(A692,B692,1))+DATE(A692,B692,1))+14</f>
        <v>50088</v>
      </c>
      <c r="E692" s="37">
        <f t="shared" si="557"/>
        <v>50088</v>
      </c>
      <c r="F692" s="14" t="str">
        <f t="shared" si="558"/>
        <v/>
      </c>
    </row>
    <row r="693" spans="1:6" ht="13.9" customHeight="1" x14ac:dyDescent="0.15">
      <c r="A693" s="10">
        <v>2037</v>
      </c>
      <c r="B693" s="10">
        <f t="shared" si="567"/>
        <v>2</v>
      </c>
      <c r="C693" s="67">
        <f t="shared" si="513"/>
        <v>50072</v>
      </c>
      <c r="D693" s="36">
        <f t="shared" ref="D693" si="572">IF(WEEKDAY((DATE(A691,B691,1)))&gt;4,(7-(WEEKDAY((DATE(A691,B691,1)))-4))+(DATE(A691,B691,1)),4-WEEKDAY((DATE(A691,B691,1)))+(DATE(A691,B691,1)))+21</f>
        <v>50096</v>
      </c>
      <c r="E693" s="37">
        <f t="shared" si="557"/>
        <v>50096</v>
      </c>
      <c r="F693" s="14" t="str">
        <f t="shared" si="558"/>
        <v/>
      </c>
    </row>
    <row r="694" spans="1:6" ht="13.9" customHeight="1" x14ac:dyDescent="0.15">
      <c r="A694" s="10">
        <v>2037</v>
      </c>
      <c r="B694" s="10">
        <f t="shared" si="567"/>
        <v>3</v>
      </c>
      <c r="C694" s="67">
        <f t="shared" si="513"/>
        <v>50100</v>
      </c>
      <c r="D694" s="36">
        <f t="shared" ref="D694" si="573">IF(WEEKDAY((DATE(A694,B694,1)))&gt;4,(7-(WEEKDAY((DATE(A694,B694,1)))-4))+(DATE(A694,B694,1)),4-WEEKDAY((DATE(A694,B694,1)))+(DATE(A694,B694,1)))+7</f>
        <v>50110</v>
      </c>
      <c r="E694" s="37">
        <f t="shared" si="557"/>
        <v>50110</v>
      </c>
      <c r="F694" s="14" t="str">
        <f t="shared" si="558"/>
        <v/>
      </c>
    </row>
    <row r="695" spans="1:6" ht="13.9" customHeight="1" x14ac:dyDescent="0.15">
      <c r="A695" s="10">
        <v>2037</v>
      </c>
      <c r="B695" s="10">
        <f t="shared" si="567"/>
        <v>3</v>
      </c>
      <c r="C695" s="67">
        <f t="shared" si="513"/>
        <v>50100</v>
      </c>
      <c r="D695" s="38">
        <f t="shared" ref="D695" si="574">IF(WEEKDAY(DATE(A695,B695,1))&gt;3,(7-(WEEKDAY(DATE(A695,B695,1))-3))+DATE(A695,B695,1),3-WEEKDAY(DATE(A695,B695,1))+DATE(A695,B695,1))+14</f>
        <v>50116</v>
      </c>
      <c r="E695" s="37">
        <f t="shared" si="557"/>
        <v>50116</v>
      </c>
      <c r="F695" s="14" t="str">
        <f t="shared" si="558"/>
        <v/>
      </c>
    </row>
    <row r="696" spans="1:6" ht="13.9" customHeight="1" x14ac:dyDescent="0.15">
      <c r="A696" s="10">
        <v>2037</v>
      </c>
      <c r="B696" s="10">
        <f t="shared" si="567"/>
        <v>3</v>
      </c>
      <c r="C696" s="67">
        <f t="shared" si="513"/>
        <v>50100</v>
      </c>
      <c r="D696" s="36">
        <f t="shared" ref="D696" si="575">IF(WEEKDAY((DATE(A694,B694,1)))&gt;4,(7-(WEEKDAY((DATE(A694,B694,1)))-4))+(DATE(A694,B694,1)),4-WEEKDAY((DATE(A694,B694,1)))+(DATE(A694,B694,1)))+21</f>
        <v>50124</v>
      </c>
      <c r="E696" s="37">
        <f t="shared" si="557"/>
        <v>50124</v>
      </c>
      <c r="F696" s="14" t="str">
        <f t="shared" si="558"/>
        <v/>
      </c>
    </row>
    <row r="697" spans="1:6" ht="13.9" customHeight="1" x14ac:dyDescent="0.15">
      <c r="A697" s="10">
        <v>2037</v>
      </c>
      <c r="B697" s="10">
        <f t="shared" si="567"/>
        <v>4</v>
      </c>
      <c r="C697" s="67">
        <f t="shared" si="513"/>
        <v>50131</v>
      </c>
      <c r="D697" s="36">
        <f t="shared" ref="D697" si="576">IF(WEEKDAY((DATE(A697,B697,1)))&gt;4,(7-(WEEKDAY((DATE(A697,B697,1)))-4))+(DATE(A697,B697,1)),4-WEEKDAY((DATE(A697,B697,1)))+(DATE(A697,B697,1)))+7</f>
        <v>50138</v>
      </c>
      <c r="E697" s="37">
        <f t="shared" si="557"/>
        <v>50138</v>
      </c>
      <c r="F697" s="14" t="str">
        <f t="shared" si="558"/>
        <v/>
      </c>
    </row>
    <row r="698" spans="1:6" ht="13.9" customHeight="1" x14ac:dyDescent="0.15">
      <c r="A698" s="10">
        <v>2037</v>
      </c>
      <c r="B698" s="10">
        <f t="shared" si="567"/>
        <v>4</v>
      </c>
      <c r="C698" s="67">
        <f t="shared" si="513"/>
        <v>50131</v>
      </c>
      <c r="D698" s="38">
        <f t="shared" ref="D698" si="577">IF(WEEKDAY(DATE(A698,B698,1))&gt;3,(7-(WEEKDAY(DATE(A698,B698,1))-3))+DATE(A698,B698,1),3-WEEKDAY(DATE(A698,B698,1))+DATE(A698,B698,1))+14</f>
        <v>50151</v>
      </c>
      <c r="E698" s="37">
        <f t="shared" si="557"/>
        <v>50151</v>
      </c>
      <c r="F698" s="14" t="str">
        <f t="shared" si="558"/>
        <v/>
      </c>
    </row>
    <row r="699" spans="1:6" ht="13.9" customHeight="1" x14ac:dyDescent="0.15">
      <c r="A699" s="10">
        <v>2037</v>
      </c>
      <c r="B699" s="10">
        <f t="shared" si="567"/>
        <v>4</v>
      </c>
      <c r="C699" s="67">
        <f t="shared" si="513"/>
        <v>50131</v>
      </c>
      <c r="D699" s="36">
        <f t="shared" ref="D699" si="578">IF(WEEKDAY((DATE(A697,B697,1)))&gt;4,(7-(WEEKDAY((DATE(A697,B697,1)))-4))+(DATE(A697,B697,1)),4-WEEKDAY((DATE(A697,B697,1)))+(DATE(A697,B697,1)))+21</f>
        <v>50152</v>
      </c>
      <c r="E699" s="37">
        <f t="shared" si="557"/>
        <v>50152</v>
      </c>
      <c r="F699" s="14" t="str">
        <f t="shared" si="558"/>
        <v/>
      </c>
    </row>
    <row r="700" spans="1:6" ht="13.9" customHeight="1" x14ac:dyDescent="0.15">
      <c r="A700" s="10">
        <v>2037</v>
      </c>
      <c r="B700" s="10">
        <f t="shared" si="567"/>
        <v>5</v>
      </c>
      <c r="C700" s="67">
        <f t="shared" si="513"/>
        <v>50161</v>
      </c>
      <c r="D700" s="36">
        <f t="shared" ref="D700" si="579">IF(WEEKDAY((DATE(A700,B700,1)))&gt;4,(7-(WEEKDAY((DATE(A700,B700,1)))-4))+(DATE(A700,B700,1)),4-WEEKDAY((DATE(A700,B700,1)))+(DATE(A700,B700,1)))+7</f>
        <v>50173</v>
      </c>
      <c r="E700" s="37">
        <f t="shared" si="557"/>
        <v>50173</v>
      </c>
      <c r="F700" s="14" t="str">
        <f t="shared" si="558"/>
        <v/>
      </c>
    </row>
    <row r="701" spans="1:6" ht="13.9" customHeight="1" x14ac:dyDescent="0.15">
      <c r="A701" s="10">
        <v>2037</v>
      </c>
      <c r="B701" s="10">
        <f t="shared" si="567"/>
        <v>5</v>
      </c>
      <c r="C701" s="67">
        <f t="shared" si="513"/>
        <v>50161</v>
      </c>
      <c r="D701" s="38">
        <f t="shared" ref="D701" si="580">IF(WEEKDAY(DATE(A701,B701,1))&gt;3,(7-(WEEKDAY(DATE(A701,B701,1))-3))+DATE(A701,B701,1),3-WEEKDAY(DATE(A701,B701,1))+DATE(A701,B701,1))+14</f>
        <v>50179</v>
      </c>
      <c r="E701" s="37">
        <f t="shared" si="557"/>
        <v>50179</v>
      </c>
      <c r="F701" s="14" t="str">
        <f t="shared" si="558"/>
        <v/>
      </c>
    </row>
    <row r="702" spans="1:6" ht="13.9" customHeight="1" x14ac:dyDescent="0.15">
      <c r="A702" s="10">
        <v>2037</v>
      </c>
      <c r="B702" s="10">
        <f t="shared" si="567"/>
        <v>5</v>
      </c>
      <c r="C702" s="67">
        <f t="shared" ref="C702:C765" si="581">DATE(A702,B702,1)</f>
        <v>50161</v>
      </c>
      <c r="D702" s="36">
        <f t="shared" ref="D702" si="582">IF(WEEKDAY((DATE(A700,B700,1)))&gt;4,(7-(WEEKDAY((DATE(A700,B700,1)))-4))+(DATE(A700,B700,1)),4-WEEKDAY((DATE(A700,B700,1)))+(DATE(A700,B700,1)))+21</f>
        <v>50187</v>
      </c>
      <c r="E702" s="37">
        <f t="shared" si="557"/>
        <v>50187</v>
      </c>
      <c r="F702" s="14" t="str">
        <f t="shared" si="558"/>
        <v/>
      </c>
    </row>
    <row r="703" spans="1:6" ht="13.9" customHeight="1" x14ac:dyDescent="0.15">
      <c r="A703" s="10">
        <v>2037</v>
      </c>
      <c r="B703" s="10">
        <f t="shared" si="567"/>
        <v>6</v>
      </c>
      <c r="C703" s="67">
        <f t="shared" si="581"/>
        <v>50192</v>
      </c>
      <c r="D703" s="36">
        <f t="shared" ref="D703" si="583">IF(WEEKDAY((DATE(A703,B703,1)))&gt;4,(7-(WEEKDAY((DATE(A703,B703,1)))-4))+(DATE(A703,B703,1)),4-WEEKDAY((DATE(A703,B703,1)))+(DATE(A703,B703,1)))+7</f>
        <v>50201</v>
      </c>
      <c r="E703" s="37">
        <f t="shared" si="557"/>
        <v>50201</v>
      </c>
      <c r="F703" s="14" t="str">
        <f t="shared" si="558"/>
        <v/>
      </c>
    </row>
    <row r="704" spans="1:6" ht="13.9" customHeight="1" x14ac:dyDescent="0.15">
      <c r="A704" s="10">
        <v>2037</v>
      </c>
      <c r="B704" s="10">
        <f t="shared" si="567"/>
        <v>6</v>
      </c>
      <c r="C704" s="67">
        <f t="shared" si="581"/>
        <v>50192</v>
      </c>
      <c r="D704" s="38">
        <f t="shared" ref="D704" si="584">IF(WEEKDAY(DATE(A704,B704,1))&gt;3,(7-(WEEKDAY(DATE(A704,B704,1))-3))+DATE(A704,B704,1),3-WEEKDAY(DATE(A704,B704,1))+DATE(A704,B704,1))+14</f>
        <v>50207</v>
      </c>
      <c r="E704" s="37">
        <f t="shared" si="557"/>
        <v>50207</v>
      </c>
      <c r="F704" s="14" t="str">
        <f t="shared" si="558"/>
        <v/>
      </c>
    </row>
    <row r="705" spans="1:6" ht="13.9" customHeight="1" x14ac:dyDescent="0.15">
      <c r="A705" s="10">
        <v>2037</v>
      </c>
      <c r="B705" s="10">
        <f t="shared" si="567"/>
        <v>6</v>
      </c>
      <c r="C705" s="67">
        <f t="shared" si="581"/>
        <v>50192</v>
      </c>
      <c r="D705" s="36">
        <f t="shared" ref="D705" si="585">IF(WEEKDAY((DATE(A703,B703,1)))&gt;4,(7-(WEEKDAY((DATE(A703,B703,1)))-4))+(DATE(A703,B703,1)),4-WEEKDAY((DATE(A703,B703,1)))+(DATE(A703,B703,1)))+21</f>
        <v>50215</v>
      </c>
      <c r="E705" s="37">
        <f t="shared" si="557"/>
        <v>50215</v>
      </c>
      <c r="F705" s="14" t="str">
        <f t="shared" si="558"/>
        <v/>
      </c>
    </row>
    <row r="706" spans="1:6" ht="13.9" customHeight="1" x14ac:dyDescent="0.15">
      <c r="A706" s="10">
        <v>2037</v>
      </c>
      <c r="B706" s="10">
        <f t="shared" si="567"/>
        <v>7</v>
      </c>
      <c r="C706" s="67">
        <f t="shared" si="581"/>
        <v>50222</v>
      </c>
      <c r="D706" s="36">
        <f t="shared" ref="D706" si="586">IF(WEEKDAY((DATE(A706,B706,1)))&gt;4,(7-(WEEKDAY((DATE(A706,B706,1)))-4))+(DATE(A706,B706,1)),4-WEEKDAY((DATE(A706,B706,1)))+(DATE(A706,B706,1)))+7</f>
        <v>50229</v>
      </c>
      <c r="E706" s="37">
        <f t="shared" si="557"/>
        <v>50229</v>
      </c>
      <c r="F706" s="14" t="str">
        <f t="shared" si="558"/>
        <v/>
      </c>
    </row>
    <row r="707" spans="1:6" ht="13.9" customHeight="1" x14ac:dyDescent="0.15">
      <c r="A707" s="10">
        <v>2037</v>
      </c>
      <c r="B707" s="10">
        <f t="shared" si="567"/>
        <v>7</v>
      </c>
      <c r="C707" s="67">
        <f t="shared" si="581"/>
        <v>50222</v>
      </c>
      <c r="D707" s="38">
        <f t="shared" ref="D707" si="587">IF(WEEKDAY(DATE(A707,B707,1))&gt;3,(7-(WEEKDAY(DATE(A707,B707,1))-3))+DATE(A707,B707,1),3-WEEKDAY(DATE(A707,B707,1))+DATE(A707,B707,1))+14</f>
        <v>50242</v>
      </c>
      <c r="E707" s="37">
        <f t="shared" si="557"/>
        <v>50242</v>
      </c>
      <c r="F707" s="14" t="str">
        <f t="shared" si="558"/>
        <v/>
      </c>
    </row>
    <row r="708" spans="1:6" ht="13.9" customHeight="1" x14ac:dyDescent="0.15">
      <c r="A708" s="10">
        <v>2037</v>
      </c>
      <c r="B708" s="10">
        <f t="shared" si="567"/>
        <v>7</v>
      </c>
      <c r="C708" s="67">
        <f t="shared" si="581"/>
        <v>50222</v>
      </c>
      <c r="D708" s="36">
        <f t="shared" ref="D708" si="588">IF(WEEKDAY((DATE(A706,B706,1)))&gt;4,(7-(WEEKDAY((DATE(A706,B706,1)))-4))+(DATE(A706,B706,1)),4-WEEKDAY((DATE(A706,B706,1)))+(DATE(A706,B706,1)))+21</f>
        <v>50243</v>
      </c>
      <c r="E708" s="37">
        <f t="shared" si="557"/>
        <v>50243</v>
      </c>
      <c r="F708" s="14" t="str">
        <f t="shared" si="558"/>
        <v/>
      </c>
    </row>
    <row r="709" spans="1:6" ht="13.9" customHeight="1" x14ac:dyDescent="0.15">
      <c r="A709" s="10">
        <v>2037</v>
      </c>
      <c r="B709" s="10">
        <f t="shared" si="567"/>
        <v>8</v>
      </c>
      <c r="C709" s="67">
        <f t="shared" si="581"/>
        <v>50253</v>
      </c>
      <c r="D709" s="36">
        <f t="shared" ref="D709" si="589">IF(WEEKDAY((DATE(A709,B709,1)))&gt;4,(7-(WEEKDAY((DATE(A709,B709,1)))-4))+(DATE(A709,B709,1)),4-WEEKDAY((DATE(A709,B709,1)))+(DATE(A709,B709,1)))+7</f>
        <v>50264</v>
      </c>
      <c r="E709" s="37">
        <f t="shared" si="557"/>
        <v>50264</v>
      </c>
      <c r="F709" s="14" t="str">
        <f t="shared" si="558"/>
        <v/>
      </c>
    </row>
    <row r="710" spans="1:6" ht="13.9" customHeight="1" x14ac:dyDescent="0.15">
      <c r="A710" s="10">
        <v>2037</v>
      </c>
      <c r="B710" s="10">
        <f t="shared" si="567"/>
        <v>8</v>
      </c>
      <c r="C710" s="67">
        <f t="shared" si="581"/>
        <v>50253</v>
      </c>
      <c r="D710" s="38">
        <f t="shared" ref="D710" si="590">IF(WEEKDAY(DATE(A710,B710,1))&gt;3,(7-(WEEKDAY(DATE(A710,B710,1))-3))+DATE(A710,B710,1),3-WEEKDAY(DATE(A710,B710,1))+DATE(A710,B710,1))+14</f>
        <v>50270</v>
      </c>
      <c r="E710" s="37">
        <f t="shared" si="557"/>
        <v>50270</v>
      </c>
      <c r="F710" s="14" t="str">
        <f t="shared" si="558"/>
        <v/>
      </c>
    </row>
    <row r="711" spans="1:6" ht="13.9" customHeight="1" x14ac:dyDescent="0.15">
      <c r="A711" s="10">
        <v>2037</v>
      </c>
      <c r="B711" s="10">
        <f t="shared" si="567"/>
        <v>8</v>
      </c>
      <c r="C711" s="67">
        <f t="shared" si="581"/>
        <v>50253</v>
      </c>
      <c r="D711" s="36">
        <f t="shared" ref="D711" si="591">IF(WEEKDAY((DATE(A709,B709,1)))&gt;4,(7-(WEEKDAY((DATE(A709,B709,1)))-4))+(DATE(A709,B709,1)),4-WEEKDAY((DATE(A709,B709,1)))+(DATE(A709,B709,1)))+21</f>
        <v>50278</v>
      </c>
      <c r="E711" s="37">
        <f t="shared" si="557"/>
        <v>50278</v>
      </c>
      <c r="F711" s="14" t="str">
        <f t="shared" si="558"/>
        <v/>
      </c>
    </row>
    <row r="712" spans="1:6" ht="13.9" customHeight="1" x14ac:dyDescent="0.15">
      <c r="A712" s="10">
        <v>2037</v>
      </c>
      <c r="B712" s="10">
        <f t="shared" si="567"/>
        <v>9</v>
      </c>
      <c r="C712" s="67">
        <f t="shared" si="581"/>
        <v>50284</v>
      </c>
      <c r="D712" s="36">
        <f t="shared" ref="D712" si="592">IF(WEEKDAY((DATE(A712,B712,1)))&gt;4,(7-(WEEKDAY((DATE(A712,B712,1)))-4))+(DATE(A712,B712,1)),4-WEEKDAY((DATE(A712,B712,1)))+(DATE(A712,B712,1)))+7</f>
        <v>50292</v>
      </c>
      <c r="E712" s="37">
        <f t="shared" si="557"/>
        <v>50292</v>
      </c>
      <c r="F712" s="14" t="str">
        <f t="shared" si="558"/>
        <v/>
      </c>
    </row>
    <row r="713" spans="1:6" ht="13.9" customHeight="1" x14ac:dyDescent="0.15">
      <c r="A713" s="10">
        <v>2037</v>
      </c>
      <c r="B713" s="10">
        <f t="shared" si="567"/>
        <v>9</v>
      </c>
      <c r="C713" s="67">
        <f t="shared" si="581"/>
        <v>50284</v>
      </c>
      <c r="D713" s="38">
        <f t="shared" ref="D713" si="593">IF(WEEKDAY(DATE(A713,B713,1))&gt;3,(7-(WEEKDAY(DATE(A713,B713,1))-3))+DATE(A713,B713,1),3-WEEKDAY(DATE(A713,B713,1))+DATE(A713,B713,1))+14</f>
        <v>50298</v>
      </c>
      <c r="E713" s="37">
        <f t="shared" si="557"/>
        <v>50298</v>
      </c>
      <c r="F713" s="14" t="str">
        <f t="shared" si="558"/>
        <v/>
      </c>
    </row>
    <row r="714" spans="1:6" ht="13.9" customHeight="1" x14ac:dyDescent="0.15">
      <c r="A714" s="10">
        <v>2037</v>
      </c>
      <c r="B714" s="10">
        <f t="shared" si="567"/>
        <v>9</v>
      </c>
      <c r="C714" s="67">
        <f t="shared" si="581"/>
        <v>50284</v>
      </c>
      <c r="D714" s="36">
        <f t="shared" ref="D714" si="594">IF(WEEKDAY((DATE(A712,B712,1)))&gt;4,(7-(WEEKDAY((DATE(A712,B712,1)))-4))+(DATE(A712,B712,1)),4-WEEKDAY((DATE(A712,B712,1)))+(DATE(A712,B712,1)))+21</f>
        <v>50306</v>
      </c>
      <c r="E714" s="37">
        <f t="shared" si="557"/>
        <v>50306</v>
      </c>
      <c r="F714" s="14" t="str">
        <f t="shared" si="558"/>
        <v/>
      </c>
    </row>
    <row r="715" spans="1:6" ht="13.9" customHeight="1" x14ac:dyDescent="0.15">
      <c r="A715" s="10">
        <v>2037</v>
      </c>
      <c r="B715" s="10">
        <f t="shared" si="567"/>
        <v>10</v>
      </c>
      <c r="C715" s="67">
        <f t="shared" si="581"/>
        <v>50314</v>
      </c>
      <c r="D715" s="36">
        <f t="shared" ref="D715" si="595">IF(WEEKDAY((DATE(A715,B715,1)))&gt;4,(7-(WEEKDAY((DATE(A715,B715,1)))-4))+(DATE(A715,B715,1)),4-WEEKDAY((DATE(A715,B715,1)))+(DATE(A715,B715,1)))+7</f>
        <v>50327</v>
      </c>
      <c r="E715" s="37">
        <f t="shared" si="557"/>
        <v>50327</v>
      </c>
      <c r="F715" s="14" t="str">
        <f t="shared" si="558"/>
        <v/>
      </c>
    </row>
    <row r="716" spans="1:6" ht="13.9" customHeight="1" x14ac:dyDescent="0.15">
      <c r="A716" s="10">
        <v>2037</v>
      </c>
      <c r="B716" s="10">
        <f t="shared" si="567"/>
        <v>10</v>
      </c>
      <c r="C716" s="67">
        <f t="shared" si="581"/>
        <v>50314</v>
      </c>
      <c r="D716" s="38">
        <f t="shared" ref="D716" si="596">IF(WEEKDAY(DATE(A716,B716,1))&gt;3,(7-(WEEKDAY(DATE(A716,B716,1))-3))+DATE(A716,B716,1),3-WEEKDAY(DATE(A716,B716,1))+DATE(A716,B716,1))+14</f>
        <v>50333</v>
      </c>
      <c r="E716" s="37">
        <f t="shared" si="557"/>
        <v>50333</v>
      </c>
      <c r="F716" s="14" t="str">
        <f t="shared" si="558"/>
        <v/>
      </c>
    </row>
    <row r="717" spans="1:6" ht="13.9" customHeight="1" x14ac:dyDescent="0.15">
      <c r="A717" s="10">
        <v>2037</v>
      </c>
      <c r="B717" s="10">
        <f t="shared" si="567"/>
        <v>10</v>
      </c>
      <c r="C717" s="67">
        <f t="shared" si="581"/>
        <v>50314</v>
      </c>
      <c r="D717" s="36">
        <f t="shared" ref="D717" si="597">IF(WEEKDAY((DATE(A715,B715,1)))&gt;4,(7-(WEEKDAY((DATE(A715,B715,1)))-4))+(DATE(A715,B715,1)),4-WEEKDAY((DATE(A715,B715,1)))+(DATE(A715,B715,1)))+21</f>
        <v>50341</v>
      </c>
      <c r="E717" s="37">
        <f t="shared" si="557"/>
        <v>50341</v>
      </c>
      <c r="F717" s="14" t="str">
        <f t="shared" si="558"/>
        <v/>
      </c>
    </row>
    <row r="718" spans="1:6" ht="13.9" customHeight="1" x14ac:dyDescent="0.15">
      <c r="A718" s="10">
        <v>2037</v>
      </c>
      <c r="B718" s="10">
        <f t="shared" si="567"/>
        <v>11</v>
      </c>
      <c r="C718" s="67">
        <f t="shared" si="581"/>
        <v>50345</v>
      </c>
      <c r="D718" s="36">
        <f t="shared" ref="D718" si="598">IF(WEEKDAY((DATE(A718,B718,1)))&gt;4,(7-(WEEKDAY((DATE(A718,B718,1)))-4))+(DATE(A718,B718,1)),4-WEEKDAY((DATE(A718,B718,1)))+(DATE(A718,B718,1)))+7</f>
        <v>50355</v>
      </c>
      <c r="E718" s="37">
        <f t="shared" si="557"/>
        <v>50355</v>
      </c>
      <c r="F718" s="14" t="str">
        <f t="shared" si="558"/>
        <v/>
      </c>
    </row>
    <row r="719" spans="1:6" ht="13.9" customHeight="1" x14ac:dyDescent="0.15">
      <c r="A719" s="10">
        <v>2037</v>
      </c>
      <c r="B719" s="10">
        <f t="shared" si="567"/>
        <v>11</v>
      </c>
      <c r="C719" s="67">
        <f t="shared" si="581"/>
        <v>50345</v>
      </c>
      <c r="D719" s="38">
        <f t="shared" ref="D719" si="599">IF(WEEKDAY(DATE(A719,B719,1))&gt;3,(7-(WEEKDAY(DATE(A719,B719,1))-3))+DATE(A719,B719,1),3-WEEKDAY(DATE(A719,B719,1))+DATE(A719,B719,1))+14</f>
        <v>50361</v>
      </c>
      <c r="E719" s="37">
        <f t="shared" si="557"/>
        <v>50361</v>
      </c>
      <c r="F719" s="14" t="str">
        <f t="shared" si="558"/>
        <v/>
      </c>
    </row>
    <row r="720" spans="1:6" ht="13.9" customHeight="1" x14ac:dyDescent="0.15">
      <c r="A720" s="10">
        <v>2037</v>
      </c>
      <c r="B720" s="10">
        <f t="shared" si="567"/>
        <v>11</v>
      </c>
      <c r="C720" s="67">
        <f t="shared" si="581"/>
        <v>50345</v>
      </c>
      <c r="D720" s="36">
        <f t="shared" ref="D720" si="600">IF(WEEKDAY((DATE(A718,B718,1)))&gt;4,(7-(WEEKDAY((DATE(A718,B718,1)))-4))+(DATE(A718,B718,1)),4-WEEKDAY((DATE(A718,B718,1)))+(DATE(A718,B718,1)))+21</f>
        <v>50369</v>
      </c>
      <c r="E720" s="37">
        <f t="shared" si="557"/>
        <v>50369</v>
      </c>
      <c r="F720" s="14" t="str">
        <f t="shared" si="558"/>
        <v/>
      </c>
    </row>
    <row r="721" spans="1:6" ht="13.9" customHeight="1" x14ac:dyDescent="0.15">
      <c r="A721" s="10">
        <v>2037</v>
      </c>
      <c r="B721" s="10">
        <f t="shared" si="567"/>
        <v>12</v>
      </c>
      <c r="C721" s="67">
        <f t="shared" si="581"/>
        <v>50375</v>
      </c>
      <c r="D721" s="36">
        <f t="shared" ref="D721" si="601">IF(WEEKDAY((DATE(A721,B721,1)))&gt;4,(7-(WEEKDAY((DATE(A721,B721,1)))-4))+(DATE(A721,B721,1)),4-WEEKDAY((DATE(A721,B721,1)))+(DATE(A721,B721,1)))+7</f>
        <v>50383</v>
      </c>
      <c r="E721" s="37">
        <f t="shared" si="557"/>
        <v>50383</v>
      </c>
      <c r="F721" s="14" t="str">
        <f t="shared" si="558"/>
        <v/>
      </c>
    </row>
    <row r="722" spans="1:6" ht="13.9" customHeight="1" x14ac:dyDescent="0.15">
      <c r="A722" s="10">
        <v>2037</v>
      </c>
      <c r="B722" s="10">
        <f t="shared" si="567"/>
        <v>12</v>
      </c>
      <c r="C722" s="67">
        <f t="shared" si="581"/>
        <v>50375</v>
      </c>
      <c r="D722" s="38">
        <f t="shared" ref="D722" si="602">IF(WEEKDAY(DATE(A722,B722,1))&gt;3,(7-(WEEKDAY(DATE(A722,B722,1))-3))+DATE(A722,B722,1),3-WEEKDAY(DATE(A722,B722,1))+DATE(A722,B722,1))+14</f>
        <v>50389</v>
      </c>
      <c r="E722" s="37">
        <f t="shared" si="557"/>
        <v>50389</v>
      </c>
      <c r="F722" s="14" t="str">
        <f t="shared" si="558"/>
        <v/>
      </c>
    </row>
    <row r="723" spans="1:6" ht="13.9" customHeight="1" x14ac:dyDescent="0.15">
      <c r="A723" s="10">
        <v>2037</v>
      </c>
      <c r="B723" s="10">
        <f t="shared" si="567"/>
        <v>12</v>
      </c>
      <c r="C723" s="67">
        <f t="shared" si="581"/>
        <v>50375</v>
      </c>
      <c r="D723" s="36">
        <f t="shared" ref="D723" si="603">IF(WEEKDAY((DATE(A721,B721,1)))&gt;4,(7-(WEEKDAY((DATE(A721,B721,1)))-4))+(DATE(A721,B721,1)),4-WEEKDAY((DATE(A721,B721,1)))+(DATE(A721,B721,1)))+21</f>
        <v>50397</v>
      </c>
      <c r="E723" s="37">
        <f t="shared" si="557"/>
        <v>50397</v>
      </c>
      <c r="F723" s="14" t="str">
        <f t="shared" si="558"/>
        <v/>
      </c>
    </row>
    <row r="724" spans="1:6" ht="13.9" customHeight="1" x14ac:dyDescent="0.15">
      <c r="A724" s="10">
        <v>2038</v>
      </c>
      <c r="B724" s="10">
        <f t="shared" si="567"/>
        <v>1</v>
      </c>
      <c r="C724" s="67">
        <f t="shared" si="581"/>
        <v>50406</v>
      </c>
      <c r="D724" s="36">
        <f t="shared" ref="D724" si="604">IF(WEEKDAY((DATE(A724,B724,1)))&gt;4,(7-(WEEKDAY((DATE(A724,B724,1)))-4))+(DATE(A724,B724,1)),4-WEEKDAY((DATE(A724,B724,1)))+(DATE(A724,B724,1)))+7</f>
        <v>50418</v>
      </c>
      <c r="E724" s="37">
        <f t="shared" si="557"/>
        <v>50418</v>
      </c>
      <c r="F724" s="14" t="str">
        <f t="shared" si="558"/>
        <v/>
      </c>
    </row>
    <row r="725" spans="1:6" ht="13.9" customHeight="1" x14ac:dyDescent="0.15">
      <c r="A725" s="10">
        <v>2038</v>
      </c>
      <c r="B725" s="10">
        <f t="shared" si="567"/>
        <v>1</v>
      </c>
      <c r="C725" s="67">
        <f t="shared" si="581"/>
        <v>50406</v>
      </c>
      <c r="D725" s="38">
        <f t="shared" ref="D725" si="605">IF(WEEKDAY(DATE(A725,B725,1))&gt;3,(7-(WEEKDAY(DATE(A725,B725,1))-3))+DATE(A725,B725,1),3-WEEKDAY(DATE(A725,B725,1))+DATE(A725,B725,1))+14</f>
        <v>50424</v>
      </c>
      <c r="E725" s="37">
        <f t="shared" si="557"/>
        <v>50424</v>
      </c>
      <c r="F725" s="14" t="str">
        <f t="shared" si="558"/>
        <v/>
      </c>
    </row>
    <row r="726" spans="1:6" ht="13.9" customHeight="1" x14ac:dyDescent="0.15">
      <c r="A726" s="10">
        <v>2038</v>
      </c>
      <c r="B726" s="10">
        <f t="shared" si="567"/>
        <v>1</v>
      </c>
      <c r="C726" s="67">
        <f t="shared" si="581"/>
        <v>50406</v>
      </c>
      <c r="D726" s="36">
        <f t="shared" ref="D726" si="606">IF(WEEKDAY((DATE(A724,B724,1)))&gt;4,(7-(WEEKDAY((DATE(A724,B724,1)))-4))+(DATE(A724,B724,1)),4-WEEKDAY((DATE(A724,B724,1)))+(DATE(A724,B724,1)))+21</f>
        <v>50432</v>
      </c>
      <c r="E726" s="37">
        <f t="shared" si="557"/>
        <v>50432</v>
      </c>
      <c r="F726" s="14" t="str">
        <f t="shared" si="558"/>
        <v/>
      </c>
    </row>
    <row r="727" spans="1:6" ht="13.9" customHeight="1" x14ac:dyDescent="0.15">
      <c r="A727" s="10">
        <v>2038</v>
      </c>
      <c r="B727" s="10">
        <f t="shared" si="567"/>
        <v>2</v>
      </c>
      <c r="C727" s="67">
        <f t="shared" si="581"/>
        <v>50437</v>
      </c>
      <c r="D727" s="36">
        <f t="shared" ref="D727" si="607">IF(WEEKDAY((DATE(A727,B727,1)))&gt;4,(7-(WEEKDAY((DATE(A727,B727,1)))-4))+(DATE(A727,B727,1)),4-WEEKDAY((DATE(A727,B727,1)))+(DATE(A727,B727,1)))+7</f>
        <v>50446</v>
      </c>
      <c r="E727" s="37">
        <f t="shared" si="557"/>
        <v>50446</v>
      </c>
      <c r="F727" s="14" t="str">
        <f t="shared" si="558"/>
        <v/>
      </c>
    </row>
    <row r="728" spans="1:6" ht="13.9" customHeight="1" x14ac:dyDescent="0.15">
      <c r="A728" s="10">
        <v>2038</v>
      </c>
      <c r="B728" s="10">
        <f t="shared" si="567"/>
        <v>2</v>
      </c>
      <c r="C728" s="67">
        <f t="shared" si="581"/>
        <v>50437</v>
      </c>
      <c r="D728" s="38">
        <f t="shared" ref="D728" si="608">IF(WEEKDAY(DATE(A728,B728,1))&gt;3,(7-(WEEKDAY(DATE(A728,B728,1))-3))+DATE(A728,B728,1),3-WEEKDAY(DATE(A728,B728,1))+DATE(A728,B728,1))+14</f>
        <v>50452</v>
      </c>
      <c r="E728" s="37">
        <f t="shared" si="557"/>
        <v>50452</v>
      </c>
      <c r="F728" s="14" t="str">
        <f t="shared" si="558"/>
        <v/>
      </c>
    </row>
    <row r="729" spans="1:6" ht="13.9" customHeight="1" x14ac:dyDescent="0.15">
      <c r="A729" s="10">
        <v>2038</v>
      </c>
      <c r="B729" s="10">
        <f t="shared" si="567"/>
        <v>2</v>
      </c>
      <c r="C729" s="67">
        <f t="shared" si="581"/>
        <v>50437</v>
      </c>
      <c r="D729" s="36">
        <f t="shared" ref="D729" si="609">IF(WEEKDAY((DATE(A727,B727,1)))&gt;4,(7-(WEEKDAY((DATE(A727,B727,1)))-4))+(DATE(A727,B727,1)),4-WEEKDAY((DATE(A727,B727,1)))+(DATE(A727,B727,1)))+21</f>
        <v>50460</v>
      </c>
      <c r="E729" s="37">
        <f t="shared" si="557"/>
        <v>50460</v>
      </c>
      <c r="F729" s="14" t="str">
        <f t="shared" si="558"/>
        <v/>
      </c>
    </row>
    <row r="730" spans="1:6" ht="13.9" customHeight="1" x14ac:dyDescent="0.15">
      <c r="A730" s="10">
        <v>2038</v>
      </c>
      <c r="B730" s="10">
        <f t="shared" si="567"/>
        <v>3</v>
      </c>
      <c r="C730" s="67">
        <f t="shared" si="581"/>
        <v>50465</v>
      </c>
      <c r="D730" s="36">
        <f t="shared" ref="D730" si="610">IF(WEEKDAY((DATE(A730,B730,1)))&gt;4,(7-(WEEKDAY((DATE(A730,B730,1)))-4))+(DATE(A730,B730,1)),4-WEEKDAY((DATE(A730,B730,1)))+(DATE(A730,B730,1)))+7</f>
        <v>50474</v>
      </c>
      <c r="E730" s="37">
        <f t="shared" si="557"/>
        <v>50474</v>
      </c>
      <c r="F730" s="14" t="str">
        <f t="shared" si="558"/>
        <v/>
      </c>
    </row>
    <row r="731" spans="1:6" ht="13.9" customHeight="1" x14ac:dyDescent="0.15">
      <c r="A731" s="10">
        <v>2038</v>
      </c>
      <c r="B731" s="10">
        <f t="shared" si="567"/>
        <v>3</v>
      </c>
      <c r="C731" s="67">
        <f t="shared" si="581"/>
        <v>50465</v>
      </c>
      <c r="D731" s="38">
        <f t="shared" ref="D731" si="611">IF(WEEKDAY(DATE(A731,B731,1))&gt;3,(7-(WEEKDAY(DATE(A731,B731,1))-3))+DATE(A731,B731,1),3-WEEKDAY(DATE(A731,B731,1))+DATE(A731,B731,1))+14</f>
        <v>50480</v>
      </c>
      <c r="E731" s="37">
        <f t="shared" si="557"/>
        <v>50480</v>
      </c>
      <c r="F731" s="14" t="str">
        <f t="shared" si="558"/>
        <v/>
      </c>
    </row>
    <row r="732" spans="1:6" ht="13.9" customHeight="1" x14ac:dyDescent="0.15">
      <c r="A732" s="10">
        <v>2038</v>
      </c>
      <c r="B732" s="10">
        <f t="shared" si="567"/>
        <v>3</v>
      </c>
      <c r="C732" s="67">
        <f t="shared" si="581"/>
        <v>50465</v>
      </c>
      <c r="D732" s="36">
        <f t="shared" ref="D732" si="612">IF(WEEKDAY((DATE(A730,B730,1)))&gt;4,(7-(WEEKDAY((DATE(A730,B730,1)))-4))+(DATE(A730,B730,1)),4-WEEKDAY((DATE(A730,B730,1)))+(DATE(A730,B730,1)))+21</f>
        <v>50488</v>
      </c>
      <c r="E732" s="37">
        <f t="shared" si="557"/>
        <v>50488</v>
      </c>
      <c r="F732" s="14" t="str">
        <f t="shared" si="558"/>
        <v/>
      </c>
    </row>
    <row r="733" spans="1:6" ht="13.9" customHeight="1" x14ac:dyDescent="0.15">
      <c r="A733" s="10">
        <v>2038</v>
      </c>
      <c r="B733" s="10">
        <f t="shared" si="567"/>
        <v>4</v>
      </c>
      <c r="C733" s="67">
        <f t="shared" si="581"/>
        <v>50496</v>
      </c>
      <c r="D733" s="36">
        <f t="shared" ref="D733" si="613">IF(WEEKDAY((DATE(A733,B733,1)))&gt;4,(7-(WEEKDAY((DATE(A733,B733,1)))-4))+(DATE(A733,B733,1)),4-WEEKDAY((DATE(A733,B733,1)))+(DATE(A733,B733,1)))+7</f>
        <v>50509</v>
      </c>
      <c r="E733" s="37">
        <f t="shared" si="557"/>
        <v>50509</v>
      </c>
      <c r="F733" s="14" t="str">
        <f t="shared" si="558"/>
        <v/>
      </c>
    </row>
    <row r="734" spans="1:6" ht="13.9" customHeight="1" x14ac:dyDescent="0.15">
      <c r="A734" s="10">
        <v>2038</v>
      </c>
      <c r="B734" s="10">
        <f t="shared" si="567"/>
        <v>4</v>
      </c>
      <c r="C734" s="67">
        <f t="shared" si="581"/>
        <v>50496</v>
      </c>
      <c r="D734" s="38">
        <f t="shared" ref="D734" si="614">IF(WEEKDAY(DATE(A734,B734,1))&gt;3,(7-(WEEKDAY(DATE(A734,B734,1))-3))+DATE(A734,B734,1),3-WEEKDAY(DATE(A734,B734,1))+DATE(A734,B734,1))+14</f>
        <v>50515</v>
      </c>
      <c r="E734" s="37">
        <f t="shared" si="557"/>
        <v>50515</v>
      </c>
      <c r="F734" s="14" t="str">
        <f t="shared" si="558"/>
        <v/>
      </c>
    </row>
    <row r="735" spans="1:6" ht="13.9" customHeight="1" x14ac:dyDescent="0.15">
      <c r="A735" s="10">
        <v>2038</v>
      </c>
      <c r="B735" s="10">
        <f t="shared" si="567"/>
        <v>4</v>
      </c>
      <c r="C735" s="67">
        <f t="shared" si="581"/>
        <v>50496</v>
      </c>
      <c r="D735" s="36">
        <f t="shared" ref="D735" si="615">IF(WEEKDAY((DATE(A733,B733,1)))&gt;4,(7-(WEEKDAY((DATE(A733,B733,1)))-4))+(DATE(A733,B733,1)),4-WEEKDAY((DATE(A733,B733,1)))+(DATE(A733,B733,1)))+21</f>
        <v>50523</v>
      </c>
      <c r="E735" s="37">
        <f t="shared" si="557"/>
        <v>50523</v>
      </c>
      <c r="F735" s="14" t="str">
        <f t="shared" si="558"/>
        <v/>
      </c>
    </row>
    <row r="736" spans="1:6" ht="13.9" customHeight="1" x14ac:dyDescent="0.15">
      <c r="A736" s="10">
        <v>2038</v>
      </c>
      <c r="B736" s="10">
        <f t="shared" si="567"/>
        <v>5</v>
      </c>
      <c r="C736" s="67">
        <f t="shared" si="581"/>
        <v>50526</v>
      </c>
      <c r="D736" s="36">
        <f t="shared" ref="D736" si="616">IF(WEEKDAY((DATE(A736,B736,1)))&gt;4,(7-(WEEKDAY((DATE(A736,B736,1)))-4))+(DATE(A736,B736,1)),4-WEEKDAY((DATE(A736,B736,1)))+(DATE(A736,B736,1)))+7</f>
        <v>50537</v>
      </c>
      <c r="E736" s="37">
        <f t="shared" si="557"/>
        <v>50537</v>
      </c>
      <c r="F736" s="14" t="str">
        <f t="shared" si="558"/>
        <v/>
      </c>
    </row>
    <row r="737" spans="1:6" ht="13.9" customHeight="1" x14ac:dyDescent="0.15">
      <c r="A737" s="10">
        <v>2038</v>
      </c>
      <c r="B737" s="10">
        <f t="shared" si="567"/>
        <v>5</v>
      </c>
      <c r="C737" s="67">
        <f t="shared" si="581"/>
        <v>50526</v>
      </c>
      <c r="D737" s="38">
        <f t="shared" ref="D737" si="617">IF(WEEKDAY(DATE(A737,B737,1))&gt;3,(7-(WEEKDAY(DATE(A737,B737,1))-3))+DATE(A737,B737,1),3-WEEKDAY(DATE(A737,B737,1))+DATE(A737,B737,1))+14</f>
        <v>50543</v>
      </c>
      <c r="E737" s="37">
        <f t="shared" si="557"/>
        <v>50543</v>
      </c>
      <c r="F737" s="14" t="str">
        <f t="shared" si="558"/>
        <v/>
      </c>
    </row>
    <row r="738" spans="1:6" ht="13.9" customHeight="1" x14ac:dyDescent="0.15">
      <c r="A738" s="10">
        <v>2038</v>
      </c>
      <c r="B738" s="10">
        <f t="shared" si="567"/>
        <v>5</v>
      </c>
      <c r="C738" s="67">
        <f t="shared" si="581"/>
        <v>50526</v>
      </c>
      <c r="D738" s="36">
        <f t="shared" ref="D738" si="618">IF(WEEKDAY((DATE(A736,B736,1)))&gt;4,(7-(WEEKDAY((DATE(A736,B736,1)))-4))+(DATE(A736,B736,1)),4-WEEKDAY((DATE(A736,B736,1)))+(DATE(A736,B736,1)))+21</f>
        <v>50551</v>
      </c>
      <c r="E738" s="37">
        <f t="shared" si="557"/>
        <v>50551</v>
      </c>
      <c r="F738" s="14" t="str">
        <f t="shared" si="558"/>
        <v/>
      </c>
    </row>
    <row r="739" spans="1:6" ht="13.9" customHeight="1" x14ac:dyDescent="0.15">
      <c r="A739" s="10">
        <v>2038</v>
      </c>
      <c r="B739" s="10">
        <f t="shared" si="567"/>
        <v>6</v>
      </c>
      <c r="C739" s="67">
        <f t="shared" si="581"/>
        <v>50557</v>
      </c>
      <c r="D739" s="36">
        <f t="shared" ref="D739" si="619">IF(WEEKDAY((DATE(A739,B739,1)))&gt;4,(7-(WEEKDAY((DATE(A739,B739,1)))-4))+(DATE(A739,B739,1)),4-WEEKDAY((DATE(A739,B739,1)))+(DATE(A739,B739,1)))+7</f>
        <v>50565</v>
      </c>
      <c r="E739" s="37">
        <f t="shared" si="557"/>
        <v>50565</v>
      </c>
      <c r="F739" s="14" t="str">
        <f t="shared" si="558"/>
        <v/>
      </c>
    </row>
    <row r="740" spans="1:6" ht="13.9" customHeight="1" x14ac:dyDescent="0.15">
      <c r="A740" s="10">
        <v>2038</v>
      </c>
      <c r="B740" s="10">
        <f t="shared" si="567"/>
        <v>6</v>
      </c>
      <c r="C740" s="67">
        <f t="shared" si="581"/>
        <v>50557</v>
      </c>
      <c r="D740" s="38">
        <f t="shared" ref="D740" si="620">IF(WEEKDAY(DATE(A740,B740,1))&gt;3,(7-(WEEKDAY(DATE(A740,B740,1))-3))+DATE(A740,B740,1),3-WEEKDAY(DATE(A740,B740,1))+DATE(A740,B740,1))+14</f>
        <v>50571</v>
      </c>
      <c r="E740" s="37">
        <f t="shared" si="557"/>
        <v>50571</v>
      </c>
      <c r="F740" s="14" t="str">
        <f t="shared" si="558"/>
        <v/>
      </c>
    </row>
    <row r="741" spans="1:6" ht="13.9" customHeight="1" x14ac:dyDescent="0.15">
      <c r="A741" s="10">
        <v>2038</v>
      </c>
      <c r="B741" s="10">
        <f t="shared" si="567"/>
        <v>6</v>
      </c>
      <c r="C741" s="67">
        <f t="shared" si="581"/>
        <v>50557</v>
      </c>
      <c r="D741" s="36">
        <f t="shared" ref="D741" si="621">IF(WEEKDAY((DATE(A739,B739,1)))&gt;4,(7-(WEEKDAY((DATE(A739,B739,1)))-4))+(DATE(A739,B739,1)),4-WEEKDAY((DATE(A739,B739,1)))+(DATE(A739,B739,1)))+21</f>
        <v>50579</v>
      </c>
      <c r="E741" s="37">
        <f t="shared" si="557"/>
        <v>50579</v>
      </c>
      <c r="F741" s="14" t="str">
        <f t="shared" si="558"/>
        <v/>
      </c>
    </row>
    <row r="742" spans="1:6" ht="13.9" customHeight="1" x14ac:dyDescent="0.15">
      <c r="A742" s="10">
        <v>2038</v>
      </c>
      <c r="B742" s="10">
        <f t="shared" si="567"/>
        <v>7</v>
      </c>
      <c r="C742" s="67">
        <f t="shared" si="581"/>
        <v>50587</v>
      </c>
      <c r="D742" s="36">
        <f t="shared" ref="D742" si="622">IF(WEEKDAY((DATE(A742,B742,1)))&gt;4,(7-(WEEKDAY((DATE(A742,B742,1)))-4))+(DATE(A742,B742,1)),4-WEEKDAY((DATE(A742,B742,1)))+(DATE(A742,B742,1)))+7</f>
        <v>50600</v>
      </c>
      <c r="E742" s="37">
        <f t="shared" si="557"/>
        <v>50600</v>
      </c>
      <c r="F742" s="14" t="str">
        <f t="shared" si="558"/>
        <v/>
      </c>
    </row>
    <row r="743" spans="1:6" ht="13.9" customHeight="1" x14ac:dyDescent="0.15">
      <c r="A743" s="10">
        <v>2038</v>
      </c>
      <c r="B743" s="10">
        <f t="shared" si="567"/>
        <v>7</v>
      </c>
      <c r="C743" s="67">
        <f t="shared" si="581"/>
        <v>50587</v>
      </c>
      <c r="D743" s="38">
        <f t="shared" ref="D743" si="623">IF(WEEKDAY(DATE(A743,B743,1))&gt;3,(7-(WEEKDAY(DATE(A743,B743,1))-3))+DATE(A743,B743,1),3-WEEKDAY(DATE(A743,B743,1))+DATE(A743,B743,1))+14</f>
        <v>50606</v>
      </c>
      <c r="E743" s="37">
        <f t="shared" si="557"/>
        <v>50606</v>
      </c>
      <c r="F743" s="14" t="str">
        <f t="shared" si="558"/>
        <v/>
      </c>
    </row>
    <row r="744" spans="1:6" ht="13.9" customHeight="1" x14ac:dyDescent="0.15">
      <c r="A744" s="10">
        <v>2038</v>
      </c>
      <c r="B744" s="10">
        <f t="shared" si="567"/>
        <v>7</v>
      </c>
      <c r="C744" s="67">
        <f t="shared" si="581"/>
        <v>50587</v>
      </c>
      <c r="D744" s="36">
        <f t="shared" ref="D744" si="624">IF(WEEKDAY((DATE(A742,B742,1)))&gt;4,(7-(WEEKDAY((DATE(A742,B742,1)))-4))+(DATE(A742,B742,1)),4-WEEKDAY((DATE(A742,B742,1)))+(DATE(A742,B742,1)))+21</f>
        <v>50614</v>
      </c>
      <c r="E744" s="37">
        <f t="shared" ref="E744:E807" si="625">D744</f>
        <v>50614</v>
      </c>
      <c r="F744" s="14" t="str">
        <f t="shared" ref="F744:F807" si="626">IFERROR(INDEX($H$1:$AN$1,1,MATCH(1,H744:AN744)),"")</f>
        <v/>
      </c>
    </row>
    <row r="745" spans="1:6" ht="13.9" customHeight="1" x14ac:dyDescent="0.15">
      <c r="A745" s="10">
        <v>2038</v>
      </c>
      <c r="B745" s="10">
        <f t="shared" si="567"/>
        <v>8</v>
      </c>
      <c r="C745" s="67">
        <f t="shared" si="581"/>
        <v>50618</v>
      </c>
      <c r="D745" s="36">
        <f t="shared" ref="D745" si="627">IF(WEEKDAY((DATE(A745,B745,1)))&gt;4,(7-(WEEKDAY((DATE(A745,B745,1)))-4))+(DATE(A745,B745,1)),4-WEEKDAY((DATE(A745,B745,1)))+(DATE(A745,B745,1)))+7</f>
        <v>50628</v>
      </c>
      <c r="E745" s="37">
        <f t="shared" si="625"/>
        <v>50628</v>
      </c>
      <c r="F745" s="14" t="str">
        <f t="shared" si="626"/>
        <v/>
      </c>
    </row>
    <row r="746" spans="1:6" ht="13.9" customHeight="1" x14ac:dyDescent="0.15">
      <c r="A746" s="10">
        <v>2038</v>
      </c>
      <c r="B746" s="10">
        <f t="shared" si="567"/>
        <v>8</v>
      </c>
      <c r="C746" s="67">
        <f t="shared" si="581"/>
        <v>50618</v>
      </c>
      <c r="D746" s="38">
        <f t="shared" ref="D746" si="628">IF(WEEKDAY(DATE(A746,B746,1))&gt;3,(7-(WEEKDAY(DATE(A746,B746,1))-3))+DATE(A746,B746,1),3-WEEKDAY(DATE(A746,B746,1))+DATE(A746,B746,1))+14</f>
        <v>50634</v>
      </c>
      <c r="E746" s="37">
        <f t="shared" si="625"/>
        <v>50634</v>
      </c>
      <c r="F746" s="14" t="str">
        <f t="shared" si="626"/>
        <v/>
      </c>
    </row>
    <row r="747" spans="1:6" ht="13.9" customHeight="1" x14ac:dyDescent="0.15">
      <c r="A747" s="10">
        <v>2038</v>
      </c>
      <c r="B747" s="10">
        <f t="shared" si="567"/>
        <v>8</v>
      </c>
      <c r="C747" s="67">
        <f t="shared" si="581"/>
        <v>50618</v>
      </c>
      <c r="D747" s="36">
        <f t="shared" ref="D747" si="629">IF(WEEKDAY((DATE(A745,B745,1)))&gt;4,(7-(WEEKDAY((DATE(A745,B745,1)))-4))+(DATE(A745,B745,1)),4-WEEKDAY((DATE(A745,B745,1)))+(DATE(A745,B745,1)))+21</f>
        <v>50642</v>
      </c>
      <c r="E747" s="37">
        <f t="shared" si="625"/>
        <v>50642</v>
      </c>
      <c r="F747" s="14" t="str">
        <f t="shared" si="626"/>
        <v/>
      </c>
    </row>
    <row r="748" spans="1:6" ht="13.9" customHeight="1" x14ac:dyDescent="0.15">
      <c r="A748" s="10">
        <v>2038</v>
      </c>
      <c r="B748" s="10">
        <f t="shared" si="567"/>
        <v>9</v>
      </c>
      <c r="C748" s="67">
        <f t="shared" si="581"/>
        <v>50649</v>
      </c>
      <c r="D748" s="36">
        <f t="shared" ref="D748" si="630">IF(WEEKDAY((DATE(A748,B748,1)))&gt;4,(7-(WEEKDAY((DATE(A748,B748,1)))-4))+(DATE(A748,B748,1)),4-WEEKDAY((DATE(A748,B748,1)))+(DATE(A748,B748,1)))+7</f>
        <v>50656</v>
      </c>
      <c r="E748" s="37">
        <f t="shared" si="625"/>
        <v>50656</v>
      </c>
      <c r="F748" s="14" t="str">
        <f t="shared" si="626"/>
        <v/>
      </c>
    </row>
    <row r="749" spans="1:6" ht="13.9" customHeight="1" x14ac:dyDescent="0.15">
      <c r="A749" s="10">
        <v>2038</v>
      </c>
      <c r="B749" s="10">
        <f t="shared" si="567"/>
        <v>9</v>
      </c>
      <c r="C749" s="67">
        <f t="shared" si="581"/>
        <v>50649</v>
      </c>
      <c r="D749" s="38">
        <f t="shared" ref="D749" si="631">IF(WEEKDAY(DATE(A749,B749,1))&gt;3,(7-(WEEKDAY(DATE(A749,B749,1))-3))+DATE(A749,B749,1),3-WEEKDAY(DATE(A749,B749,1))+DATE(A749,B749,1))+14</f>
        <v>50669</v>
      </c>
      <c r="E749" s="37">
        <f t="shared" si="625"/>
        <v>50669</v>
      </c>
      <c r="F749" s="14" t="str">
        <f t="shared" si="626"/>
        <v/>
      </c>
    </row>
    <row r="750" spans="1:6" ht="13.9" customHeight="1" x14ac:dyDescent="0.15">
      <c r="A750" s="10">
        <v>2038</v>
      </c>
      <c r="B750" s="10">
        <f t="shared" si="567"/>
        <v>9</v>
      </c>
      <c r="C750" s="67">
        <f t="shared" si="581"/>
        <v>50649</v>
      </c>
      <c r="D750" s="36">
        <f t="shared" ref="D750" si="632">IF(WEEKDAY((DATE(A748,B748,1)))&gt;4,(7-(WEEKDAY((DATE(A748,B748,1)))-4))+(DATE(A748,B748,1)),4-WEEKDAY((DATE(A748,B748,1)))+(DATE(A748,B748,1)))+21</f>
        <v>50670</v>
      </c>
      <c r="E750" s="37">
        <f t="shared" si="625"/>
        <v>50670</v>
      </c>
      <c r="F750" s="14" t="str">
        <f t="shared" si="626"/>
        <v/>
      </c>
    </row>
    <row r="751" spans="1:6" ht="13.9" customHeight="1" x14ac:dyDescent="0.15">
      <c r="A751" s="10">
        <v>2038</v>
      </c>
      <c r="B751" s="10">
        <f t="shared" si="567"/>
        <v>10</v>
      </c>
      <c r="C751" s="67">
        <f t="shared" si="581"/>
        <v>50679</v>
      </c>
      <c r="D751" s="36">
        <f t="shared" ref="D751" si="633">IF(WEEKDAY((DATE(A751,B751,1)))&gt;4,(7-(WEEKDAY((DATE(A751,B751,1)))-4))+(DATE(A751,B751,1)),4-WEEKDAY((DATE(A751,B751,1)))+(DATE(A751,B751,1)))+7</f>
        <v>50691</v>
      </c>
      <c r="E751" s="37">
        <f t="shared" si="625"/>
        <v>50691</v>
      </c>
      <c r="F751" s="14" t="str">
        <f t="shared" si="626"/>
        <v/>
      </c>
    </row>
    <row r="752" spans="1:6" ht="13.9" customHeight="1" x14ac:dyDescent="0.15">
      <c r="A752" s="10">
        <v>2038</v>
      </c>
      <c r="B752" s="10">
        <f t="shared" si="567"/>
        <v>10</v>
      </c>
      <c r="C752" s="67">
        <f t="shared" si="581"/>
        <v>50679</v>
      </c>
      <c r="D752" s="38">
        <f t="shared" ref="D752" si="634">IF(WEEKDAY(DATE(A752,B752,1))&gt;3,(7-(WEEKDAY(DATE(A752,B752,1))-3))+DATE(A752,B752,1),3-WEEKDAY(DATE(A752,B752,1))+DATE(A752,B752,1))+14</f>
        <v>50697</v>
      </c>
      <c r="E752" s="37">
        <f t="shared" si="625"/>
        <v>50697</v>
      </c>
      <c r="F752" s="14" t="str">
        <f t="shared" si="626"/>
        <v/>
      </c>
    </row>
    <row r="753" spans="1:6" ht="13.9" customHeight="1" x14ac:dyDescent="0.15">
      <c r="A753" s="10">
        <v>2038</v>
      </c>
      <c r="B753" s="10">
        <f t="shared" ref="B753:B816" si="635">IF(B750+1&gt;12,B750+1-12,B750+1)</f>
        <v>10</v>
      </c>
      <c r="C753" s="67">
        <f t="shared" si="581"/>
        <v>50679</v>
      </c>
      <c r="D753" s="36">
        <f t="shared" ref="D753" si="636">IF(WEEKDAY((DATE(A751,B751,1)))&gt;4,(7-(WEEKDAY((DATE(A751,B751,1)))-4))+(DATE(A751,B751,1)),4-WEEKDAY((DATE(A751,B751,1)))+(DATE(A751,B751,1)))+21</f>
        <v>50705</v>
      </c>
      <c r="E753" s="37">
        <f t="shared" si="625"/>
        <v>50705</v>
      </c>
      <c r="F753" s="14" t="str">
        <f t="shared" si="626"/>
        <v/>
      </c>
    </row>
    <row r="754" spans="1:6" ht="13.9" customHeight="1" x14ac:dyDescent="0.15">
      <c r="A754" s="10">
        <v>2038</v>
      </c>
      <c r="B754" s="10">
        <f t="shared" si="635"/>
        <v>11</v>
      </c>
      <c r="C754" s="67">
        <f t="shared" si="581"/>
        <v>50710</v>
      </c>
      <c r="D754" s="36">
        <f t="shared" ref="D754" si="637">IF(WEEKDAY((DATE(A754,B754,1)))&gt;4,(7-(WEEKDAY((DATE(A754,B754,1)))-4))+(DATE(A754,B754,1)),4-WEEKDAY((DATE(A754,B754,1)))+(DATE(A754,B754,1)))+7</f>
        <v>50719</v>
      </c>
      <c r="E754" s="37">
        <f t="shared" si="625"/>
        <v>50719</v>
      </c>
      <c r="F754" s="14" t="str">
        <f t="shared" si="626"/>
        <v/>
      </c>
    </row>
    <row r="755" spans="1:6" ht="13.9" customHeight="1" x14ac:dyDescent="0.15">
      <c r="A755" s="10">
        <v>2038</v>
      </c>
      <c r="B755" s="10">
        <f t="shared" si="635"/>
        <v>11</v>
      </c>
      <c r="C755" s="67">
        <f t="shared" si="581"/>
        <v>50710</v>
      </c>
      <c r="D755" s="38">
        <f t="shared" ref="D755" si="638">IF(WEEKDAY(DATE(A755,B755,1))&gt;3,(7-(WEEKDAY(DATE(A755,B755,1))-3))+DATE(A755,B755,1),3-WEEKDAY(DATE(A755,B755,1))+DATE(A755,B755,1))+14</f>
        <v>50725</v>
      </c>
      <c r="E755" s="37">
        <f t="shared" si="625"/>
        <v>50725</v>
      </c>
      <c r="F755" s="14" t="str">
        <f t="shared" si="626"/>
        <v/>
      </c>
    </row>
    <row r="756" spans="1:6" ht="13.9" customHeight="1" x14ac:dyDescent="0.15">
      <c r="A756" s="10">
        <v>2038</v>
      </c>
      <c r="B756" s="10">
        <f t="shared" si="635"/>
        <v>11</v>
      </c>
      <c r="C756" s="67">
        <f t="shared" si="581"/>
        <v>50710</v>
      </c>
      <c r="D756" s="36">
        <f t="shared" ref="D756" si="639">IF(WEEKDAY((DATE(A754,B754,1)))&gt;4,(7-(WEEKDAY((DATE(A754,B754,1)))-4))+(DATE(A754,B754,1)),4-WEEKDAY((DATE(A754,B754,1)))+(DATE(A754,B754,1)))+21</f>
        <v>50733</v>
      </c>
      <c r="E756" s="37">
        <f t="shared" si="625"/>
        <v>50733</v>
      </c>
      <c r="F756" s="14" t="str">
        <f t="shared" si="626"/>
        <v/>
      </c>
    </row>
    <row r="757" spans="1:6" ht="13.9" customHeight="1" x14ac:dyDescent="0.15">
      <c r="A757" s="10">
        <v>2038</v>
      </c>
      <c r="B757" s="10">
        <f t="shared" si="635"/>
        <v>12</v>
      </c>
      <c r="C757" s="67">
        <f t="shared" si="581"/>
        <v>50740</v>
      </c>
      <c r="D757" s="36">
        <f t="shared" ref="D757" si="640">IF(WEEKDAY((DATE(A757,B757,1)))&gt;4,(7-(WEEKDAY((DATE(A757,B757,1)))-4))+(DATE(A757,B757,1)),4-WEEKDAY((DATE(A757,B757,1)))+(DATE(A757,B757,1)))+7</f>
        <v>50747</v>
      </c>
      <c r="E757" s="37">
        <f t="shared" si="625"/>
        <v>50747</v>
      </c>
      <c r="F757" s="14" t="str">
        <f t="shared" si="626"/>
        <v/>
      </c>
    </row>
    <row r="758" spans="1:6" ht="13.9" customHeight="1" x14ac:dyDescent="0.15">
      <c r="A758" s="10">
        <v>2038</v>
      </c>
      <c r="B758" s="10">
        <f t="shared" si="635"/>
        <v>12</v>
      </c>
      <c r="C758" s="67">
        <f t="shared" si="581"/>
        <v>50740</v>
      </c>
      <c r="D758" s="38">
        <f t="shared" ref="D758" si="641">IF(WEEKDAY(DATE(A758,B758,1))&gt;3,(7-(WEEKDAY(DATE(A758,B758,1))-3))+DATE(A758,B758,1),3-WEEKDAY(DATE(A758,B758,1))+DATE(A758,B758,1))+14</f>
        <v>50760</v>
      </c>
      <c r="E758" s="37">
        <f t="shared" si="625"/>
        <v>50760</v>
      </c>
      <c r="F758" s="14" t="str">
        <f t="shared" si="626"/>
        <v/>
      </c>
    </row>
    <row r="759" spans="1:6" ht="13.9" customHeight="1" x14ac:dyDescent="0.15">
      <c r="A759" s="10">
        <v>2038</v>
      </c>
      <c r="B759" s="10">
        <f t="shared" si="635"/>
        <v>12</v>
      </c>
      <c r="C759" s="67">
        <f t="shared" si="581"/>
        <v>50740</v>
      </c>
      <c r="D759" s="36">
        <f t="shared" ref="D759" si="642">IF(WEEKDAY((DATE(A757,B757,1)))&gt;4,(7-(WEEKDAY((DATE(A757,B757,1)))-4))+(DATE(A757,B757,1)),4-WEEKDAY((DATE(A757,B757,1)))+(DATE(A757,B757,1)))+21</f>
        <v>50761</v>
      </c>
      <c r="E759" s="37">
        <f t="shared" si="625"/>
        <v>50761</v>
      </c>
      <c r="F759" s="14" t="str">
        <f t="shared" si="626"/>
        <v/>
      </c>
    </row>
    <row r="760" spans="1:6" ht="13.9" customHeight="1" x14ac:dyDescent="0.15">
      <c r="A760" s="10">
        <v>2039</v>
      </c>
      <c r="B760" s="10">
        <f t="shared" si="635"/>
        <v>1</v>
      </c>
      <c r="C760" s="67">
        <f t="shared" si="581"/>
        <v>50771</v>
      </c>
      <c r="D760" s="36">
        <f t="shared" ref="D760" si="643">IF(WEEKDAY((DATE(A760,B760,1)))&gt;4,(7-(WEEKDAY((DATE(A760,B760,1)))-4))+(DATE(A760,B760,1)),4-WEEKDAY((DATE(A760,B760,1)))+(DATE(A760,B760,1)))+7</f>
        <v>50782</v>
      </c>
      <c r="E760" s="37">
        <f t="shared" si="625"/>
        <v>50782</v>
      </c>
      <c r="F760" s="14" t="str">
        <f t="shared" si="626"/>
        <v/>
      </c>
    </row>
    <row r="761" spans="1:6" ht="13.9" customHeight="1" x14ac:dyDescent="0.15">
      <c r="A761" s="10">
        <v>2039</v>
      </c>
      <c r="B761" s="10">
        <f t="shared" si="635"/>
        <v>1</v>
      </c>
      <c r="C761" s="67">
        <f t="shared" si="581"/>
        <v>50771</v>
      </c>
      <c r="D761" s="38">
        <f t="shared" ref="D761" si="644">IF(WEEKDAY(DATE(A761,B761,1))&gt;3,(7-(WEEKDAY(DATE(A761,B761,1))-3))+DATE(A761,B761,1),3-WEEKDAY(DATE(A761,B761,1))+DATE(A761,B761,1))+14</f>
        <v>50788</v>
      </c>
      <c r="E761" s="37">
        <f t="shared" si="625"/>
        <v>50788</v>
      </c>
      <c r="F761" s="14" t="str">
        <f t="shared" si="626"/>
        <v/>
      </c>
    </row>
    <row r="762" spans="1:6" ht="13.9" customHeight="1" x14ac:dyDescent="0.15">
      <c r="A762" s="10">
        <v>2039</v>
      </c>
      <c r="B762" s="10">
        <f t="shared" si="635"/>
        <v>1</v>
      </c>
      <c r="C762" s="67">
        <f t="shared" si="581"/>
        <v>50771</v>
      </c>
      <c r="D762" s="36">
        <f t="shared" ref="D762" si="645">IF(WEEKDAY((DATE(A760,B760,1)))&gt;4,(7-(WEEKDAY((DATE(A760,B760,1)))-4))+(DATE(A760,B760,1)),4-WEEKDAY((DATE(A760,B760,1)))+(DATE(A760,B760,1)))+21</f>
        <v>50796</v>
      </c>
      <c r="E762" s="37">
        <f t="shared" si="625"/>
        <v>50796</v>
      </c>
      <c r="F762" s="14" t="str">
        <f t="shared" si="626"/>
        <v/>
      </c>
    </row>
    <row r="763" spans="1:6" ht="13.9" customHeight="1" x14ac:dyDescent="0.15">
      <c r="A763" s="10">
        <v>2039</v>
      </c>
      <c r="B763" s="10">
        <f t="shared" si="635"/>
        <v>2</v>
      </c>
      <c r="C763" s="67">
        <f t="shared" si="581"/>
        <v>50802</v>
      </c>
      <c r="D763" s="36">
        <f t="shared" ref="D763" si="646">IF(WEEKDAY((DATE(A763,B763,1)))&gt;4,(7-(WEEKDAY((DATE(A763,B763,1)))-4))+(DATE(A763,B763,1)),4-WEEKDAY((DATE(A763,B763,1)))+(DATE(A763,B763,1)))+7</f>
        <v>50810</v>
      </c>
      <c r="E763" s="37">
        <f t="shared" si="625"/>
        <v>50810</v>
      </c>
      <c r="F763" s="14" t="str">
        <f t="shared" si="626"/>
        <v/>
      </c>
    </row>
    <row r="764" spans="1:6" ht="13.9" customHeight="1" x14ac:dyDescent="0.15">
      <c r="A764" s="10">
        <v>2039</v>
      </c>
      <c r="B764" s="10">
        <f t="shared" si="635"/>
        <v>2</v>
      </c>
      <c r="C764" s="67">
        <f t="shared" si="581"/>
        <v>50802</v>
      </c>
      <c r="D764" s="38">
        <f t="shared" ref="D764" si="647">IF(WEEKDAY(DATE(A764,B764,1))&gt;3,(7-(WEEKDAY(DATE(A764,B764,1))-3))+DATE(A764,B764,1),3-WEEKDAY(DATE(A764,B764,1))+DATE(A764,B764,1))+14</f>
        <v>50816</v>
      </c>
      <c r="E764" s="37">
        <f t="shared" si="625"/>
        <v>50816</v>
      </c>
      <c r="F764" s="14" t="str">
        <f t="shared" si="626"/>
        <v/>
      </c>
    </row>
    <row r="765" spans="1:6" ht="13.9" customHeight="1" x14ac:dyDescent="0.15">
      <c r="A765" s="10">
        <v>2039</v>
      </c>
      <c r="B765" s="10">
        <f t="shared" si="635"/>
        <v>2</v>
      </c>
      <c r="C765" s="67">
        <f t="shared" si="581"/>
        <v>50802</v>
      </c>
      <c r="D765" s="36">
        <f t="shared" ref="D765" si="648">IF(WEEKDAY((DATE(A763,B763,1)))&gt;4,(7-(WEEKDAY((DATE(A763,B763,1)))-4))+(DATE(A763,B763,1)),4-WEEKDAY((DATE(A763,B763,1)))+(DATE(A763,B763,1)))+21</f>
        <v>50824</v>
      </c>
      <c r="E765" s="37">
        <f t="shared" si="625"/>
        <v>50824</v>
      </c>
      <c r="F765" s="14" t="str">
        <f t="shared" si="626"/>
        <v/>
      </c>
    </row>
    <row r="766" spans="1:6" ht="13.9" customHeight="1" x14ac:dyDescent="0.15">
      <c r="A766" s="10">
        <v>2039</v>
      </c>
      <c r="B766" s="10">
        <f t="shared" si="635"/>
        <v>3</v>
      </c>
      <c r="C766" s="67">
        <f t="shared" ref="C766:C829" si="649">DATE(A766,B766,1)</f>
        <v>50830</v>
      </c>
      <c r="D766" s="36">
        <f t="shared" ref="D766" si="650">IF(WEEKDAY((DATE(A766,B766,1)))&gt;4,(7-(WEEKDAY((DATE(A766,B766,1)))-4))+(DATE(A766,B766,1)),4-WEEKDAY((DATE(A766,B766,1)))+(DATE(A766,B766,1)))+7</f>
        <v>50838</v>
      </c>
      <c r="E766" s="37">
        <f t="shared" si="625"/>
        <v>50838</v>
      </c>
      <c r="F766" s="14" t="str">
        <f t="shared" si="626"/>
        <v/>
      </c>
    </row>
    <row r="767" spans="1:6" ht="13.9" customHeight="1" x14ac:dyDescent="0.15">
      <c r="A767" s="10">
        <v>2039</v>
      </c>
      <c r="B767" s="10">
        <f t="shared" si="635"/>
        <v>3</v>
      </c>
      <c r="C767" s="67">
        <f t="shared" si="649"/>
        <v>50830</v>
      </c>
      <c r="D767" s="38">
        <f t="shared" ref="D767" si="651">IF(WEEKDAY(DATE(A767,B767,1))&gt;3,(7-(WEEKDAY(DATE(A767,B767,1))-3))+DATE(A767,B767,1),3-WEEKDAY(DATE(A767,B767,1))+DATE(A767,B767,1))+14</f>
        <v>50844</v>
      </c>
      <c r="E767" s="37">
        <f t="shared" si="625"/>
        <v>50844</v>
      </c>
      <c r="F767" s="14" t="str">
        <f t="shared" si="626"/>
        <v/>
      </c>
    </row>
    <row r="768" spans="1:6" ht="13.9" customHeight="1" x14ac:dyDescent="0.15">
      <c r="A768" s="10">
        <v>2039</v>
      </c>
      <c r="B768" s="10">
        <f t="shared" si="635"/>
        <v>3</v>
      </c>
      <c r="C768" s="67">
        <f t="shared" si="649"/>
        <v>50830</v>
      </c>
      <c r="D768" s="36">
        <f t="shared" ref="D768" si="652">IF(WEEKDAY((DATE(A766,B766,1)))&gt;4,(7-(WEEKDAY((DATE(A766,B766,1)))-4))+(DATE(A766,B766,1)),4-WEEKDAY((DATE(A766,B766,1)))+(DATE(A766,B766,1)))+21</f>
        <v>50852</v>
      </c>
      <c r="E768" s="37">
        <f t="shared" si="625"/>
        <v>50852</v>
      </c>
      <c r="F768" s="14" t="str">
        <f t="shared" si="626"/>
        <v/>
      </c>
    </row>
    <row r="769" spans="1:6" ht="13.9" customHeight="1" x14ac:dyDescent="0.15">
      <c r="A769" s="10">
        <v>2039</v>
      </c>
      <c r="B769" s="10">
        <f t="shared" si="635"/>
        <v>4</v>
      </c>
      <c r="C769" s="67">
        <f t="shared" si="649"/>
        <v>50861</v>
      </c>
      <c r="D769" s="36">
        <f t="shared" ref="D769" si="653">IF(WEEKDAY((DATE(A769,B769,1)))&gt;4,(7-(WEEKDAY((DATE(A769,B769,1)))-4))+(DATE(A769,B769,1)),4-WEEKDAY((DATE(A769,B769,1)))+(DATE(A769,B769,1)))+7</f>
        <v>50873</v>
      </c>
      <c r="E769" s="37">
        <f t="shared" si="625"/>
        <v>50873</v>
      </c>
      <c r="F769" s="14" t="str">
        <f t="shared" si="626"/>
        <v/>
      </c>
    </row>
    <row r="770" spans="1:6" ht="13.9" customHeight="1" x14ac:dyDescent="0.15">
      <c r="A770" s="10">
        <v>2039</v>
      </c>
      <c r="B770" s="10">
        <f t="shared" si="635"/>
        <v>4</v>
      </c>
      <c r="C770" s="67">
        <f t="shared" si="649"/>
        <v>50861</v>
      </c>
      <c r="D770" s="38">
        <f t="shared" ref="D770" si="654">IF(WEEKDAY(DATE(A770,B770,1))&gt;3,(7-(WEEKDAY(DATE(A770,B770,1))-3))+DATE(A770,B770,1),3-WEEKDAY(DATE(A770,B770,1))+DATE(A770,B770,1))+14</f>
        <v>50879</v>
      </c>
      <c r="E770" s="37">
        <f t="shared" si="625"/>
        <v>50879</v>
      </c>
      <c r="F770" s="14" t="str">
        <f t="shared" si="626"/>
        <v/>
      </c>
    </row>
    <row r="771" spans="1:6" ht="13.9" customHeight="1" x14ac:dyDescent="0.15">
      <c r="A771" s="10">
        <v>2039</v>
      </c>
      <c r="B771" s="10">
        <f t="shared" si="635"/>
        <v>4</v>
      </c>
      <c r="C771" s="67">
        <f t="shared" si="649"/>
        <v>50861</v>
      </c>
      <c r="D771" s="36">
        <f t="shared" ref="D771" si="655">IF(WEEKDAY((DATE(A769,B769,1)))&gt;4,(7-(WEEKDAY((DATE(A769,B769,1)))-4))+(DATE(A769,B769,1)),4-WEEKDAY((DATE(A769,B769,1)))+(DATE(A769,B769,1)))+21</f>
        <v>50887</v>
      </c>
      <c r="E771" s="37">
        <f t="shared" si="625"/>
        <v>50887</v>
      </c>
      <c r="F771" s="14" t="str">
        <f t="shared" si="626"/>
        <v/>
      </c>
    </row>
    <row r="772" spans="1:6" ht="13.9" customHeight="1" x14ac:dyDescent="0.15">
      <c r="A772" s="10">
        <v>2039</v>
      </c>
      <c r="B772" s="10">
        <f t="shared" si="635"/>
        <v>5</v>
      </c>
      <c r="C772" s="67">
        <f t="shared" si="649"/>
        <v>50891</v>
      </c>
      <c r="D772" s="36">
        <f t="shared" ref="D772" si="656">IF(WEEKDAY((DATE(A772,B772,1)))&gt;4,(7-(WEEKDAY((DATE(A772,B772,1)))-4))+(DATE(A772,B772,1)),4-WEEKDAY((DATE(A772,B772,1)))+(DATE(A772,B772,1)))+7</f>
        <v>50901</v>
      </c>
      <c r="E772" s="37">
        <f t="shared" si="625"/>
        <v>50901</v>
      </c>
      <c r="F772" s="14" t="str">
        <f t="shared" si="626"/>
        <v/>
      </c>
    </row>
    <row r="773" spans="1:6" ht="13.9" customHeight="1" x14ac:dyDescent="0.15">
      <c r="A773" s="10">
        <v>2039</v>
      </c>
      <c r="B773" s="10">
        <f t="shared" si="635"/>
        <v>5</v>
      </c>
      <c r="C773" s="67">
        <f t="shared" si="649"/>
        <v>50891</v>
      </c>
      <c r="D773" s="38">
        <f t="shared" ref="D773" si="657">IF(WEEKDAY(DATE(A773,B773,1))&gt;3,(7-(WEEKDAY(DATE(A773,B773,1))-3))+DATE(A773,B773,1),3-WEEKDAY(DATE(A773,B773,1))+DATE(A773,B773,1))+14</f>
        <v>50907</v>
      </c>
      <c r="E773" s="37">
        <f t="shared" si="625"/>
        <v>50907</v>
      </c>
      <c r="F773" s="14" t="str">
        <f t="shared" si="626"/>
        <v/>
      </c>
    </row>
    <row r="774" spans="1:6" ht="13.9" customHeight="1" x14ac:dyDescent="0.15">
      <c r="A774" s="10">
        <v>2039</v>
      </c>
      <c r="B774" s="10">
        <f t="shared" si="635"/>
        <v>5</v>
      </c>
      <c r="C774" s="67">
        <f t="shared" si="649"/>
        <v>50891</v>
      </c>
      <c r="D774" s="36">
        <f t="shared" ref="D774" si="658">IF(WEEKDAY((DATE(A772,B772,1)))&gt;4,(7-(WEEKDAY((DATE(A772,B772,1)))-4))+(DATE(A772,B772,1)),4-WEEKDAY((DATE(A772,B772,1)))+(DATE(A772,B772,1)))+21</f>
        <v>50915</v>
      </c>
      <c r="E774" s="37">
        <f t="shared" si="625"/>
        <v>50915</v>
      </c>
      <c r="F774" s="14" t="str">
        <f t="shared" si="626"/>
        <v/>
      </c>
    </row>
    <row r="775" spans="1:6" ht="13.9" customHeight="1" x14ac:dyDescent="0.15">
      <c r="A775" s="10">
        <v>2039</v>
      </c>
      <c r="B775" s="10">
        <f t="shared" si="635"/>
        <v>6</v>
      </c>
      <c r="C775" s="67">
        <f t="shared" si="649"/>
        <v>50922</v>
      </c>
      <c r="D775" s="36">
        <f t="shared" ref="D775" si="659">IF(WEEKDAY((DATE(A775,B775,1)))&gt;4,(7-(WEEKDAY((DATE(A775,B775,1)))-4))+(DATE(A775,B775,1)),4-WEEKDAY((DATE(A775,B775,1)))+(DATE(A775,B775,1)))+7</f>
        <v>50929</v>
      </c>
      <c r="E775" s="37">
        <f t="shared" si="625"/>
        <v>50929</v>
      </c>
      <c r="F775" s="14" t="str">
        <f t="shared" si="626"/>
        <v/>
      </c>
    </row>
    <row r="776" spans="1:6" ht="13.9" customHeight="1" x14ac:dyDescent="0.15">
      <c r="A776" s="10">
        <v>2039</v>
      </c>
      <c r="B776" s="10">
        <f t="shared" si="635"/>
        <v>6</v>
      </c>
      <c r="C776" s="67">
        <f t="shared" si="649"/>
        <v>50922</v>
      </c>
      <c r="D776" s="38">
        <f t="shared" ref="D776" si="660">IF(WEEKDAY(DATE(A776,B776,1))&gt;3,(7-(WEEKDAY(DATE(A776,B776,1))-3))+DATE(A776,B776,1),3-WEEKDAY(DATE(A776,B776,1))+DATE(A776,B776,1))+14</f>
        <v>50942</v>
      </c>
      <c r="E776" s="37">
        <f t="shared" si="625"/>
        <v>50942</v>
      </c>
      <c r="F776" s="14" t="str">
        <f t="shared" si="626"/>
        <v/>
      </c>
    </row>
    <row r="777" spans="1:6" ht="13.9" customHeight="1" x14ac:dyDescent="0.15">
      <c r="A777" s="10">
        <v>2039</v>
      </c>
      <c r="B777" s="10">
        <f t="shared" si="635"/>
        <v>6</v>
      </c>
      <c r="C777" s="67">
        <f t="shared" si="649"/>
        <v>50922</v>
      </c>
      <c r="D777" s="36">
        <f t="shared" ref="D777" si="661">IF(WEEKDAY((DATE(A775,B775,1)))&gt;4,(7-(WEEKDAY((DATE(A775,B775,1)))-4))+(DATE(A775,B775,1)),4-WEEKDAY((DATE(A775,B775,1)))+(DATE(A775,B775,1)))+21</f>
        <v>50943</v>
      </c>
      <c r="E777" s="37">
        <f t="shared" si="625"/>
        <v>50943</v>
      </c>
      <c r="F777" s="14" t="str">
        <f t="shared" si="626"/>
        <v/>
      </c>
    </row>
    <row r="778" spans="1:6" ht="13.9" customHeight="1" x14ac:dyDescent="0.15">
      <c r="A778" s="10">
        <v>2039</v>
      </c>
      <c r="B778" s="10">
        <f t="shared" si="635"/>
        <v>7</v>
      </c>
      <c r="C778" s="67">
        <f t="shared" si="649"/>
        <v>50952</v>
      </c>
      <c r="D778" s="36">
        <f t="shared" ref="D778" si="662">IF(WEEKDAY((DATE(A778,B778,1)))&gt;4,(7-(WEEKDAY((DATE(A778,B778,1)))-4))+(DATE(A778,B778,1)),4-WEEKDAY((DATE(A778,B778,1)))+(DATE(A778,B778,1)))+7</f>
        <v>50964</v>
      </c>
      <c r="E778" s="37">
        <f t="shared" si="625"/>
        <v>50964</v>
      </c>
      <c r="F778" s="14" t="str">
        <f t="shared" si="626"/>
        <v/>
      </c>
    </row>
    <row r="779" spans="1:6" ht="13.9" customHeight="1" x14ac:dyDescent="0.15">
      <c r="A779" s="10">
        <v>2039</v>
      </c>
      <c r="B779" s="10">
        <f t="shared" si="635"/>
        <v>7</v>
      </c>
      <c r="C779" s="67">
        <f t="shared" si="649"/>
        <v>50952</v>
      </c>
      <c r="D779" s="38">
        <f t="shared" ref="D779" si="663">IF(WEEKDAY(DATE(A779,B779,1))&gt;3,(7-(WEEKDAY(DATE(A779,B779,1))-3))+DATE(A779,B779,1),3-WEEKDAY(DATE(A779,B779,1))+DATE(A779,B779,1))+14</f>
        <v>50970</v>
      </c>
      <c r="E779" s="37">
        <f t="shared" si="625"/>
        <v>50970</v>
      </c>
      <c r="F779" s="14" t="str">
        <f t="shared" si="626"/>
        <v/>
      </c>
    </row>
    <row r="780" spans="1:6" ht="13.9" customHeight="1" x14ac:dyDescent="0.15">
      <c r="A780" s="10">
        <v>2039</v>
      </c>
      <c r="B780" s="10">
        <f t="shared" si="635"/>
        <v>7</v>
      </c>
      <c r="C780" s="67">
        <f t="shared" si="649"/>
        <v>50952</v>
      </c>
      <c r="D780" s="36">
        <f t="shared" ref="D780" si="664">IF(WEEKDAY((DATE(A778,B778,1)))&gt;4,(7-(WEEKDAY((DATE(A778,B778,1)))-4))+(DATE(A778,B778,1)),4-WEEKDAY((DATE(A778,B778,1)))+(DATE(A778,B778,1)))+21</f>
        <v>50978</v>
      </c>
      <c r="E780" s="37">
        <f t="shared" si="625"/>
        <v>50978</v>
      </c>
      <c r="F780" s="14" t="str">
        <f t="shared" si="626"/>
        <v/>
      </c>
    </row>
    <row r="781" spans="1:6" ht="13.9" customHeight="1" x14ac:dyDescent="0.15">
      <c r="A781" s="10">
        <v>2039</v>
      </c>
      <c r="B781" s="10">
        <f t="shared" si="635"/>
        <v>8</v>
      </c>
      <c r="C781" s="67">
        <f t="shared" si="649"/>
        <v>50983</v>
      </c>
      <c r="D781" s="36">
        <f t="shared" ref="D781" si="665">IF(WEEKDAY((DATE(A781,B781,1)))&gt;4,(7-(WEEKDAY((DATE(A781,B781,1)))-4))+(DATE(A781,B781,1)),4-WEEKDAY((DATE(A781,B781,1)))+(DATE(A781,B781,1)))+7</f>
        <v>50992</v>
      </c>
      <c r="E781" s="37">
        <f t="shared" si="625"/>
        <v>50992</v>
      </c>
      <c r="F781" s="14" t="str">
        <f t="shared" si="626"/>
        <v/>
      </c>
    </row>
    <row r="782" spans="1:6" ht="13.9" customHeight="1" x14ac:dyDescent="0.15">
      <c r="A782" s="10">
        <v>2039</v>
      </c>
      <c r="B782" s="10">
        <f t="shared" si="635"/>
        <v>8</v>
      </c>
      <c r="C782" s="67">
        <f t="shared" si="649"/>
        <v>50983</v>
      </c>
      <c r="D782" s="38">
        <f t="shared" ref="D782" si="666">IF(WEEKDAY(DATE(A782,B782,1))&gt;3,(7-(WEEKDAY(DATE(A782,B782,1))-3))+DATE(A782,B782,1),3-WEEKDAY(DATE(A782,B782,1))+DATE(A782,B782,1))+14</f>
        <v>50998</v>
      </c>
      <c r="E782" s="37">
        <f t="shared" si="625"/>
        <v>50998</v>
      </c>
      <c r="F782" s="14" t="str">
        <f t="shared" si="626"/>
        <v/>
      </c>
    </row>
    <row r="783" spans="1:6" ht="13.9" customHeight="1" x14ac:dyDescent="0.15">
      <c r="A783" s="10">
        <v>2039</v>
      </c>
      <c r="B783" s="10">
        <f t="shared" si="635"/>
        <v>8</v>
      </c>
      <c r="C783" s="67">
        <f t="shared" si="649"/>
        <v>50983</v>
      </c>
      <c r="D783" s="36">
        <f t="shared" ref="D783" si="667">IF(WEEKDAY((DATE(A781,B781,1)))&gt;4,(7-(WEEKDAY((DATE(A781,B781,1)))-4))+(DATE(A781,B781,1)),4-WEEKDAY((DATE(A781,B781,1)))+(DATE(A781,B781,1)))+21</f>
        <v>51006</v>
      </c>
      <c r="E783" s="37">
        <f t="shared" si="625"/>
        <v>51006</v>
      </c>
      <c r="F783" s="14" t="str">
        <f t="shared" si="626"/>
        <v/>
      </c>
    </row>
    <row r="784" spans="1:6" ht="13.9" customHeight="1" x14ac:dyDescent="0.15">
      <c r="A784" s="10">
        <v>2039</v>
      </c>
      <c r="B784" s="10">
        <f t="shared" si="635"/>
        <v>9</v>
      </c>
      <c r="C784" s="67">
        <f t="shared" si="649"/>
        <v>51014</v>
      </c>
      <c r="D784" s="36">
        <f t="shared" ref="D784" si="668">IF(WEEKDAY((DATE(A784,B784,1)))&gt;4,(7-(WEEKDAY((DATE(A784,B784,1)))-4))+(DATE(A784,B784,1)),4-WEEKDAY((DATE(A784,B784,1)))+(DATE(A784,B784,1)))+7</f>
        <v>51027</v>
      </c>
      <c r="E784" s="37">
        <f t="shared" si="625"/>
        <v>51027</v>
      </c>
      <c r="F784" s="14" t="str">
        <f t="shared" si="626"/>
        <v/>
      </c>
    </row>
    <row r="785" spans="1:6" ht="13.9" customHeight="1" x14ac:dyDescent="0.15">
      <c r="A785" s="10">
        <v>2039</v>
      </c>
      <c r="B785" s="10">
        <f t="shared" si="635"/>
        <v>9</v>
      </c>
      <c r="C785" s="67">
        <f t="shared" si="649"/>
        <v>51014</v>
      </c>
      <c r="D785" s="38">
        <f t="shared" ref="D785" si="669">IF(WEEKDAY(DATE(A785,B785,1))&gt;3,(7-(WEEKDAY(DATE(A785,B785,1))-3))+DATE(A785,B785,1),3-WEEKDAY(DATE(A785,B785,1))+DATE(A785,B785,1))+14</f>
        <v>51033</v>
      </c>
      <c r="E785" s="37">
        <f t="shared" si="625"/>
        <v>51033</v>
      </c>
      <c r="F785" s="14" t="str">
        <f t="shared" si="626"/>
        <v/>
      </c>
    </row>
    <row r="786" spans="1:6" ht="13.9" customHeight="1" x14ac:dyDescent="0.15">
      <c r="A786" s="10">
        <v>2039</v>
      </c>
      <c r="B786" s="10">
        <f t="shared" si="635"/>
        <v>9</v>
      </c>
      <c r="C786" s="67">
        <f t="shared" si="649"/>
        <v>51014</v>
      </c>
      <c r="D786" s="36">
        <f t="shared" ref="D786" si="670">IF(WEEKDAY((DATE(A784,B784,1)))&gt;4,(7-(WEEKDAY((DATE(A784,B784,1)))-4))+(DATE(A784,B784,1)),4-WEEKDAY((DATE(A784,B784,1)))+(DATE(A784,B784,1)))+21</f>
        <v>51041</v>
      </c>
      <c r="E786" s="37">
        <f t="shared" si="625"/>
        <v>51041</v>
      </c>
      <c r="F786" s="14" t="str">
        <f t="shared" si="626"/>
        <v/>
      </c>
    </row>
    <row r="787" spans="1:6" ht="13.9" customHeight="1" x14ac:dyDescent="0.15">
      <c r="A787" s="10">
        <v>2039</v>
      </c>
      <c r="B787" s="10">
        <f t="shared" si="635"/>
        <v>10</v>
      </c>
      <c r="C787" s="67">
        <f t="shared" si="649"/>
        <v>51044</v>
      </c>
      <c r="D787" s="36">
        <f t="shared" ref="D787" si="671">IF(WEEKDAY((DATE(A787,B787,1)))&gt;4,(7-(WEEKDAY((DATE(A787,B787,1)))-4))+(DATE(A787,B787,1)),4-WEEKDAY((DATE(A787,B787,1)))+(DATE(A787,B787,1)))+7</f>
        <v>51055</v>
      </c>
      <c r="E787" s="37">
        <f t="shared" si="625"/>
        <v>51055</v>
      </c>
      <c r="F787" s="14" t="str">
        <f t="shared" si="626"/>
        <v/>
      </c>
    </row>
    <row r="788" spans="1:6" ht="13.9" customHeight="1" x14ac:dyDescent="0.15">
      <c r="A788" s="10">
        <v>2039</v>
      </c>
      <c r="B788" s="10">
        <f t="shared" si="635"/>
        <v>10</v>
      </c>
      <c r="C788" s="67">
        <f t="shared" si="649"/>
        <v>51044</v>
      </c>
      <c r="D788" s="38">
        <f t="shared" ref="D788" si="672">IF(WEEKDAY(DATE(A788,B788,1))&gt;3,(7-(WEEKDAY(DATE(A788,B788,1))-3))+DATE(A788,B788,1),3-WEEKDAY(DATE(A788,B788,1))+DATE(A788,B788,1))+14</f>
        <v>51061</v>
      </c>
      <c r="E788" s="37">
        <f t="shared" si="625"/>
        <v>51061</v>
      </c>
      <c r="F788" s="14" t="str">
        <f t="shared" si="626"/>
        <v/>
      </c>
    </row>
    <row r="789" spans="1:6" ht="13.9" customHeight="1" x14ac:dyDescent="0.15">
      <c r="A789" s="10">
        <v>2039</v>
      </c>
      <c r="B789" s="10">
        <f t="shared" si="635"/>
        <v>10</v>
      </c>
      <c r="C789" s="67">
        <f t="shared" si="649"/>
        <v>51044</v>
      </c>
      <c r="D789" s="36">
        <f t="shared" ref="D789" si="673">IF(WEEKDAY((DATE(A787,B787,1)))&gt;4,(7-(WEEKDAY((DATE(A787,B787,1)))-4))+(DATE(A787,B787,1)),4-WEEKDAY((DATE(A787,B787,1)))+(DATE(A787,B787,1)))+21</f>
        <v>51069</v>
      </c>
      <c r="E789" s="37">
        <f t="shared" si="625"/>
        <v>51069</v>
      </c>
      <c r="F789" s="14" t="str">
        <f t="shared" si="626"/>
        <v/>
      </c>
    </row>
    <row r="790" spans="1:6" ht="13.9" customHeight="1" x14ac:dyDescent="0.15">
      <c r="A790" s="10">
        <v>2039</v>
      </c>
      <c r="B790" s="10">
        <f t="shared" si="635"/>
        <v>11</v>
      </c>
      <c r="C790" s="67">
        <f t="shared" si="649"/>
        <v>51075</v>
      </c>
      <c r="D790" s="36">
        <f t="shared" ref="D790" si="674">IF(WEEKDAY((DATE(A790,B790,1)))&gt;4,(7-(WEEKDAY((DATE(A790,B790,1)))-4))+(DATE(A790,B790,1)),4-WEEKDAY((DATE(A790,B790,1)))+(DATE(A790,B790,1)))+7</f>
        <v>51083</v>
      </c>
      <c r="E790" s="37">
        <f t="shared" si="625"/>
        <v>51083</v>
      </c>
      <c r="F790" s="14" t="str">
        <f t="shared" si="626"/>
        <v/>
      </c>
    </row>
    <row r="791" spans="1:6" ht="13.9" customHeight="1" x14ac:dyDescent="0.15">
      <c r="A791" s="10">
        <v>2039</v>
      </c>
      <c r="B791" s="10">
        <f t="shared" si="635"/>
        <v>11</v>
      </c>
      <c r="C791" s="67">
        <f t="shared" si="649"/>
        <v>51075</v>
      </c>
      <c r="D791" s="38">
        <f t="shared" ref="D791" si="675">IF(WEEKDAY(DATE(A791,B791,1))&gt;3,(7-(WEEKDAY(DATE(A791,B791,1))-3))+DATE(A791,B791,1),3-WEEKDAY(DATE(A791,B791,1))+DATE(A791,B791,1))+14</f>
        <v>51089</v>
      </c>
      <c r="E791" s="37">
        <f t="shared" si="625"/>
        <v>51089</v>
      </c>
      <c r="F791" s="14" t="str">
        <f t="shared" si="626"/>
        <v/>
      </c>
    </row>
    <row r="792" spans="1:6" ht="13.9" customHeight="1" x14ac:dyDescent="0.15">
      <c r="A792" s="10">
        <v>2039</v>
      </c>
      <c r="B792" s="10">
        <f t="shared" si="635"/>
        <v>11</v>
      </c>
      <c r="C792" s="67">
        <f t="shared" si="649"/>
        <v>51075</v>
      </c>
      <c r="D792" s="36">
        <f t="shared" ref="D792" si="676">IF(WEEKDAY((DATE(A790,B790,1)))&gt;4,(7-(WEEKDAY((DATE(A790,B790,1)))-4))+(DATE(A790,B790,1)),4-WEEKDAY((DATE(A790,B790,1)))+(DATE(A790,B790,1)))+21</f>
        <v>51097</v>
      </c>
      <c r="E792" s="37">
        <f t="shared" si="625"/>
        <v>51097</v>
      </c>
      <c r="F792" s="14" t="str">
        <f t="shared" si="626"/>
        <v/>
      </c>
    </row>
    <row r="793" spans="1:6" ht="13.9" customHeight="1" x14ac:dyDescent="0.15">
      <c r="A793" s="10">
        <v>2039</v>
      </c>
      <c r="B793" s="10">
        <f t="shared" si="635"/>
        <v>12</v>
      </c>
      <c r="C793" s="67">
        <f t="shared" si="649"/>
        <v>51105</v>
      </c>
      <c r="D793" s="36">
        <f t="shared" ref="D793" si="677">IF(WEEKDAY((DATE(A793,B793,1)))&gt;4,(7-(WEEKDAY((DATE(A793,B793,1)))-4))+(DATE(A793,B793,1)),4-WEEKDAY((DATE(A793,B793,1)))+(DATE(A793,B793,1)))+7</f>
        <v>51118</v>
      </c>
      <c r="E793" s="37">
        <f t="shared" si="625"/>
        <v>51118</v>
      </c>
      <c r="F793" s="14" t="str">
        <f t="shared" si="626"/>
        <v/>
      </c>
    </row>
    <row r="794" spans="1:6" ht="13.9" customHeight="1" x14ac:dyDescent="0.15">
      <c r="A794" s="10">
        <v>2039</v>
      </c>
      <c r="B794" s="10">
        <f t="shared" si="635"/>
        <v>12</v>
      </c>
      <c r="C794" s="67">
        <f t="shared" si="649"/>
        <v>51105</v>
      </c>
      <c r="D794" s="38">
        <f t="shared" ref="D794" si="678">IF(WEEKDAY(DATE(A794,B794,1))&gt;3,(7-(WEEKDAY(DATE(A794,B794,1))-3))+DATE(A794,B794,1),3-WEEKDAY(DATE(A794,B794,1))+DATE(A794,B794,1))+14</f>
        <v>51124</v>
      </c>
      <c r="E794" s="37">
        <f t="shared" si="625"/>
        <v>51124</v>
      </c>
      <c r="F794" s="14" t="str">
        <f t="shared" si="626"/>
        <v/>
      </c>
    </row>
    <row r="795" spans="1:6" ht="13.9" customHeight="1" x14ac:dyDescent="0.15">
      <c r="A795" s="10">
        <v>2039</v>
      </c>
      <c r="B795" s="10">
        <f t="shared" si="635"/>
        <v>12</v>
      </c>
      <c r="C795" s="67">
        <f t="shared" si="649"/>
        <v>51105</v>
      </c>
      <c r="D795" s="36">
        <f t="shared" ref="D795" si="679">IF(WEEKDAY((DATE(A793,B793,1)))&gt;4,(7-(WEEKDAY((DATE(A793,B793,1)))-4))+(DATE(A793,B793,1)),4-WEEKDAY((DATE(A793,B793,1)))+(DATE(A793,B793,1)))+21</f>
        <v>51132</v>
      </c>
      <c r="E795" s="37">
        <f t="shared" si="625"/>
        <v>51132</v>
      </c>
      <c r="F795" s="14" t="str">
        <f t="shared" si="626"/>
        <v/>
      </c>
    </row>
    <row r="796" spans="1:6" ht="13.9" customHeight="1" x14ac:dyDescent="0.15">
      <c r="A796" s="10">
        <v>2040</v>
      </c>
      <c r="B796" s="10">
        <f t="shared" si="635"/>
        <v>1</v>
      </c>
      <c r="C796" s="67">
        <f t="shared" si="649"/>
        <v>51136</v>
      </c>
      <c r="D796" s="36">
        <f t="shared" ref="D796" si="680">IF(WEEKDAY((DATE(A796,B796,1)))&gt;4,(7-(WEEKDAY((DATE(A796,B796,1)))-4))+(DATE(A796,B796,1)),4-WEEKDAY((DATE(A796,B796,1)))+(DATE(A796,B796,1)))+7</f>
        <v>51146</v>
      </c>
      <c r="E796" s="37">
        <f t="shared" si="625"/>
        <v>51146</v>
      </c>
      <c r="F796" s="14" t="str">
        <f t="shared" si="626"/>
        <v/>
      </c>
    </row>
    <row r="797" spans="1:6" ht="13.9" customHeight="1" x14ac:dyDescent="0.15">
      <c r="A797" s="10">
        <v>2040</v>
      </c>
      <c r="B797" s="10">
        <f t="shared" si="635"/>
        <v>1</v>
      </c>
      <c r="C797" s="67">
        <f t="shared" si="649"/>
        <v>51136</v>
      </c>
      <c r="D797" s="38">
        <f t="shared" ref="D797" si="681">IF(WEEKDAY(DATE(A797,B797,1))&gt;3,(7-(WEEKDAY(DATE(A797,B797,1))-3))+DATE(A797,B797,1),3-WEEKDAY(DATE(A797,B797,1))+DATE(A797,B797,1))+14</f>
        <v>51152</v>
      </c>
      <c r="E797" s="37">
        <f t="shared" si="625"/>
        <v>51152</v>
      </c>
      <c r="F797" s="14" t="str">
        <f t="shared" si="626"/>
        <v/>
      </c>
    </row>
    <row r="798" spans="1:6" ht="13.9" customHeight="1" x14ac:dyDescent="0.15">
      <c r="A798" s="10">
        <v>2040</v>
      </c>
      <c r="B798" s="10">
        <f t="shared" si="635"/>
        <v>1</v>
      </c>
      <c r="C798" s="67">
        <f t="shared" si="649"/>
        <v>51136</v>
      </c>
      <c r="D798" s="36">
        <f t="shared" ref="D798" si="682">IF(WEEKDAY((DATE(A796,B796,1)))&gt;4,(7-(WEEKDAY((DATE(A796,B796,1)))-4))+(DATE(A796,B796,1)),4-WEEKDAY((DATE(A796,B796,1)))+(DATE(A796,B796,1)))+21</f>
        <v>51160</v>
      </c>
      <c r="E798" s="37">
        <f t="shared" si="625"/>
        <v>51160</v>
      </c>
      <c r="F798" s="14" t="str">
        <f t="shared" si="626"/>
        <v/>
      </c>
    </row>
    <row r="799" spans="1:6" ht="13.9" customHeight="1" x14ac:dyDescent="0.15">
      <c r="A799" s="10">
        <v>2040</v>
      </c>
      <c r="B799" s="10">
        <f t="shared" si="635"/>
        <v>2</v>
      </c>
      <c r="C799" s="67">
        <f t="shared" si="649"/>
        <v>51167</v>
      </c>
      <c r="D799" s="36">
        <f t="shared" ref="D799" si="683">IF(WEEKDAY((DATE(A799,B799,1)))&gt;4,(7-(WEEKDAY((DATE(A799,B799,1)))-4))+(DATE(A799,B799,1)),4-WEEKDAY((DATE(A799,B799,1)))+(DATE(A799,B799,1)))+7</f>
        <v>51174</v>
      </c>
      <c r="E799" s="37">
        <f t="shared" si="625"/>
        <v>51174</v>
      </c>
      <c r="F799" s="14" t="str">
        <f t="shared" si="626"/>
        <v/>
      </c>
    </row>
    <row r="800" spans="1:6" ht="13.9" customHeight="1" x14ac:dyDescent="0.15">
      <c r="A800" s="10">
        <v>2040</v>
      </c>
      <c r="B800" s="10">
        <f t="shared" si="635"/>
        <v>2</v>
      </c>
      <c r="C800" s="67">
        <f t="shared" si="649"/>
        <v>51167</v>
      </c>
      <c r="D800" s="38">
        <f t="shared" ref="D800" si="684">IF(WEEKDAY(DATE(A800,B800,1))&gt;3,(7-(WEEKDAY(DATE(A800,B800,1))-3))+DATE(A800,B800,1),3-WEEKDAY(DATE(A800,B800,1))+DATE(A800,B800,1))+14</f>
        <v>51187</v>
      </c>
      <c r="E800" s="37">
        <f t="shared" si="625"/>
        <v>51187</v>
      </c>
      <c r="F800" s="14" t="str">
        <f t="shared" si="626"/>
        <v/>
      </c>
    </row>
    <row r="801" spans="1:6" ht="13.9" customHeight="1" x14ac:dyDescent="0.15">
      <c r="A801" s="10">
        <v>2040</v>
      </c>
      <c r="B801" s="10">
        <f t="shared" si="635"/>
        <v>2</v>
      </c>
      <c r="C801" s="67">
        <f t="shared" si="649"/>
        <v>51167</v>
      </c>
      <c r="D801" s="36">
        <f t="shared" ref="D801" si="685">IF(WEEKDAY((DATE(A799,B799,1)))&gt;4,(7-(WEEKDAY((DATE(A799,B799,1)))-4))+(DATE(A799,B799,1)),4-WEEKDAY((DATE(A799,B799,1)))+(DATE(A799,B799,1)))+21</f>
        <v>51188</v>
      </c>
      <c r="E801" s="37">
        <f t="shared" si="625"/>
        <v>51188</v>
      </c>
      <c r="F801" s="14" t="str">
        <f t="shared" si="626"/>
        <v/>
      </c>
    </row>
    <row r="802" spans="1:6" ht="13.9" customHeight="1" x14ac:dyDescent="0.15">
      <c r="A802" s="10">
        <v>2040</v>
      </c>
      <c r="B802" s="10">
        <f t="shared" si="635"/>
        <v>3</v>
      </c>
      <c r="C802" s="67">
        <f t="shared" si="649"/>
        <v>51196</v>
      </c>
      <c r="D802" s="36">
        <f t="shared" ref="D802" si="686">IF(WEEKDAY((DATE(A802,B802,1)))&gt;4,(7-(WEEKDAY((DATE(A802,B802,1)))-4))+(DATE(A802,B802,1)),4-WEEKDAY((DATE(A802,B802,1)))+(DATE(A802,B802,1)))+7</f>
        <v>51209</v>
      </c>
      <c r="E802" s="37">
        <f t="shared" si="625"/>
        <v>51209</v>
      </c>
      <c r="F802" s="14" t="str">
        <f t="shared" si="626"/>
        <v/>
      </c>
    </row>
    <row r="803" spans="1:6" ht="13.9" customHeight="1" x14ac:dyDescent="0.15">
      <c r="A803" s="10">
        <v>2040</v>
      </c>
      <c r="B803" s="10">
        <f t="shared" si="635"/>
        <v>3</v>
      </c>
      <c r="C803" s="67">
        <f t="shared" si="649"/>
        <v>51196</v>
      </c>
      <c r="D803" s="38">
        <f t="shared" ref="D803" si="687">IF(WEEKDAY(DATE(A803,B803,1))&gt;3,(7-(WEEKDAY(DATE(A803,B803,1))-3))+DATE(A803,B803,1),3-WEEKDAY(DATE(A803,B803,1))+DATE(A803,B803,1))+14</f>
        <v>51215</v>
      </c>
      <c r="E803" s="37">
        <f t="shared" si="625"/>
        <v>51215</v>
      </c>
      <c r="F803" s="14" t="str">
        <f t="shared" si="626"/>
        <v/>
      </c>
    </row>
    <row r="804" spans="1:6" ht="13.9" customHeight="1" x14ac:dyDescent="0.15">
      <c r="A804" s="10">
        <v>2040</v>
      </c>
      <c r="B804" s="10">
        <f t="shared" si="635"/>
        <v>3</v>
      </c>
      <c r="C804" s="67">
        <f t="shared" si="649"/>
        <v>51196</v>
      </c>
      <c r="D804" s="36">
        <f t="shared" ref="D804" si="688">IF(WEEKDAY((DATE(A802,B802,1)))&gt;4,(7-(WEEKDAY((DATE(A802,B802,1)))-4))+(DATE(A802,B802,1)),4-WEEKDAY((DATE(A802,B802,1)))+(DATE(A802,B802,1)))+21</f>
        <v>51223</v>
      </c>
      <c r="E804" s="37">
        <f t="shared" si="625"/>
        <v>51223</v>
      </c>
      <c r="F804" s="14" t="str">
        <f t="shared" si="626"/>
        <v/>
      </c>
    </row>
    <row r="805" spans="1:6" ht="13.9" customHeight="1" x14ac:dyDescent="0.15">
      <c r="A805" s="10">
        <v>2040</v>
      </c>
      <c r="B805" s="10">
        <f t="shared" si="635"/>
        <v>4</v>
      </c>
      <c r="C805" s="67">
        <f t="shared" si="649"/>
        <v>51227</v>
      </c>
      <c r="D805" s="36">
        <f t="shared" ref="D805" si="689">IF(WEEKDAY((DATE(A805,B805,1)))&gt;4,(7-(WEEKDAY((DATE(A805,B805,1)))-4))+(DATE(A805,B805,1)),4-WEEKDAY((DATE(A805,B805,1)))+(DATE(A805,B805,1)))+7</f>
        <v>51237</v>
      </c>
      <c r="E805" s="37">
        <f t="shared" si="625"/>
        <v>51237</v>
      </c>
      <c r="F805" s="14" t="str">
        <f t="shared" si="626"/>
        <v/>
      </c>
    </row>
    <row r="806" spans="1:6" ht="13.9" customHeight="1" x14ac:dyDescent="0.15">
      <c r="A806" s="10">
        <v>2040</v>
      </c>
      <c r="B806" s="10">
        <f t="shared" si="635"/>
        <v>4</v>
      </c>
      <c r="C806" s="67">
        <f t="shared" si="649"/>
        <v>51227</v>
      </c>
      <c r="D806" s="38">
        <f t="shared" ref="D806" si="690">IF(WEEKDAY(DATE(A806,B806,1))&gt;3,(7-(WEEKDAY(DATE(A806,B806,1))-3))+DATE(A806,B806,1),3-WEEKDAY(DATE(A806,B806,1))+DATE(A806,B806,1))+14</f>
        <v>51243</v>
      </c>
      <c r="E806" s="37">
        <f t="shared" si="625"/>
        <v>51243</v>
      </c>
      <c r="F806" s="14" t="str">
        <f t="shared" si="626"/>
        <v/>
      </c>
    </row>
    <row r="807" spans="1:6" ht="13.9" customHeight="1" x14ac:dyDescent="0.15">
      <c r="A807" s="10">
        <v>2040</v>
      </c>
      <c r="B807" s="10">
        <f t="shared" si="635"/>
        <v>4</v>
      </c>
      <c r="C807" s="67">
        <f t="shared" si="649"/>
        <v>51227</v>
      </c>
      <c r="D807" s="36">
        <f t="shared" ref="D807" si="691">IF(WEEKDAY((DATE(A805,B805,1)))&gt;4,(7-(WEEKDAY((DATE(A805,B805,1)))-4))+(DATE(A805,B805,1)),4-WEEKDAY((DATE(A805,B805,1)))+(DATE(A805,B805,1)))+21</f>
        <v>51251</v>
      </c>
      <c r="E807" s="37">
        <f t="shared" si="625"/>
        <v>51251</v>
      </c>
      <c r="F807" s="14" t="str">
        <f t="shared" si="626"/>
        <v/>
      </c>
    </row>
    <row r="808" spans="1:6" ht="13.9" customHeight="1" x14ac:dyDescent="0.15">
      <c r="A808" s="10">
        <v>2040</v>
      </c>
      <c r="B808" s="10">
        <f t="shared" si="635"/>
        <v>5</v>
      </c>
      <c r="C808" s="67">
        <f t="shared" si="649"/>
        <v>51257</v>
      </c>
      <c r="D808" s="36">
        <f t="shared" ref="D808" si="692">IF(WEEKDAY((DATE(A808,B808,1)))&gt;4,(7-(WEEKDAY((DATE(A808,B808,1)))-4))+(DATE(A808,B808,1)),4-WEEKDAY((DATE(A808,B808,1)))+(DATE(A808,B808,1)))+7</f>
        <v>51265</v>
      </c>
      <c r="E808" s="37">
        <f t="shared" ref="E808:E831" si="693">D808</f>
        <v>51265</v>
      </c>
      <c r="F808" s="14" t="str">
        <f t="shared" ref="F808:F831" si="694">IFERROR(INDEX($H$1:$AN$1,1,MATCH(1,H808:AN808)),"")</f>
        <v/>
      </c>
    </row>
    <row r="809" spans="1:6" ht="13.9" customHeight="1" x14ac:dyDescent="0.15">
      <c r="A809" s="10">
        <v>2040</v>
      </c>
      <c r="B809" s="10">
        <f t="shared" si="635"/>
        <v>5</v>
      </c>
      <c r="C809" s="67">
        <f t="shared" si="649"/>
        <v>51257</v>
      </c>
      <c r="D809" s="38">
        <f t="shared" ref="D809" si="695">IF(WEEKDAY(DATE(A809,B809,1))&gt;3,(7-(WEEKDAY(DATE(A809,B809,1))-3))+DATE(A809,B809,1),3-WEEKDAY(DATE(A809,B809,1))+DATE(A809,B809,1))+14</f>
        <v>51271</v>
      </c>
      <c r="E809" s="37">
        <f t="shared" si="693"/>
        <v>51271</v>
      </c>
      <c r="F809" s="14" t="str">
        <f t="shared" si="694"/>
        <v/>
      </c>
    </row>
    <row r="810" spans="1:6" ht="13.9" customHeight="1" x14ac:dyDescent="0.15">
      <c r="A810" s="10">
        <v>2040</v>
      </c>
      <c r="B810" s="10">
        <f t="shared" si="635"/>
        <v>5</v>
      </c>
      <c r="C810" s="67">
        <f t="shared" si="649"/>
        <v>51257</v>
      </c>
      <c r="D810" s="36">
        <f t="shared" ref="D810" si="696">IF(WEEKDAY((DATE(A808,B808,1)))&gt;4,(7-(WEEKDAY((DATE(A808,B808,1)))-4))+(DATE(A808,B808,1)),4-WEEKDAY((DATE(A808,B808,1)))+(DATE(A808,B808,1)))+21</f>
        <v>51279</v>
      </c>
      <c r="E810" s="37">
        <f t="shared" si="693"/>
        <v>51279</v>
      </c>
      <c r="F810" s="14" t="str">
        <f t="shared" si="694"/>
        <v/>
      </c>
    </row>
    <row r="811" spans="1:6" ht="13.9" customHeight="1" x14ac:dyDescent="0.15">
      <c r="A811" s="10">
        <v>2040</v>
      </c>
      <c r="B811" s="10">
        <f t="shared" si="635"/>
        <v>6</v>
      </c>
      <c r="C811" s="67">
        <f t="shared" si="649"/>
        <v>51288</v>
      </c>
      <c r="D811" s="36">
        <f t="shared" ref="D811" si="697">IF(WEEKDAY((DATE(A811,B811,1)))&gt;4,(7-(WEEKDAY((DATE(A811,B811,1)))-4))+(DATE(A811,B811,1)),4-WEEKDAY((DATE(A811,B811,1)))+(DATE(A811,B811,1)))+7</f>
        <v>51300</v>
      </c>
      <c r="E811" s="37">
        <f t="shared" si="693"/>
        <v>51300</v>
      </c>
      <c r="F811" s="14" t="str">
        <f t="shared" si="694"/>
        <v/>
      </c>
    </row>
    <row r="812" spans="1:6" ht="13.9" customHeight="1" x14ac:dyDescent="0.15">
      <c r="A812" s="10">
        <v>2040</v>
      </c>
      <c r="B812" s="10">
        <f t="shared" si="635"/>
        <v>6</v>
      </c>
      <c r="C812" s="67">
        <f t="shared" si="649"/>
        <v>51288</v>
      </c>
      <c r="D812" s="38">
        <f t="shared" ref="D812" si="698">IF(WEEKDAY(DATE(A812,B812,1))&gt;3,(7-(WEEKDAY(DATE(A812,B812,1))-3))+DATE(A812,B812,1),3-WEEKDAY(DATE(A812,B812,1))+DATE(A812,B812,1))+14</f>
        <v>51306</v>
      </c>
      <c r="E812" s="37">
        <f t="shared" si="693"/>
        <v>51306</v>
      </c>
      <c r="F812" s="14" t="str">
        <f t="shared" si="694"/>
        <v/>
      </c>
    </row>
    <row r="813" spans="1:6" ht="13.9" customHeight="1" x14ac:dyDescent="0.15">
      <c r="A813" s="10">
        <v>2040</v>
      </c>
      <c r="B813" s="10">
        <f t="shared" si="635"/>
        <v>6</v>
      </c>
      <c r="C813" s="67">
        <f t="shared" si="649"/>
        <v>51288</v>
      </c>
      <c r="D813" s="36">
        <f t="shared" ref="D813" si="699">IF(WEEKDAY((DATE(A811,B811,1)))&gt;4,(7-(WEEKDAY((DATE(A811,B811,1)))-4))+(DATE(A811,B811,1)),4-WEEKDAY((DATE(A811,B811,1)))+(DATE(A811,B811,1)))+21</f>
        <v>51314</v>
      </c>
      <c r="E813" s="37">
        <f t="shared" si="693"/>
        <v>51314</v>
      </c>
      <c r="F813" s="14" t="str">
        <f t="shared" si="694"/>
        <v/>
      </c>
    </row>
    <row r="814" spans="1:6" ht="13.9" customHeight="1" x14ac:dyDescent="0.15">
      <c r="A814" s="10">
        <v>2040</v>
      </c>
      <c r="B814" s="10">
        <f t="shared" si="635"/>
        <v>7</v>
      </c>
      <c r="C814" s="67">
        <f t="shared" si="649"/>
        <v>51318</v>
      </c>
      <c r="D814" s="36">
        <f t="shared" ref="D814" si="700">IF(WEEKDAY((DATE(A814,B814,1)))&gt;4,(7-(WEEKDAY((DATE(A814,B814,1)))-4))+(DATE(A814,B814,1)),4-WEEKDAY((DATE(A814,B814,1)))+(DATE(A814,B814,1)))+7</f>
        <v>51328</v>
      </c>
      <c r="E814" s="37">
        <f t="shared" si="693"/>
        <v>51328</v>
      </c>
      <c r="F814" s="14" t="str">
        <f t="shared" si="694"/>
        <v/>
      </c>
    </row>
    <row r="815" spans="1:6" ht="13.9" customHeight="1" x14ac:dyDescent="0.15">
      <c r="A815" s="10">
        <v>2040</v>
      </c>
      <c r="B815" s="10">
        <f t="shared" si="635"/>
        <v>7</v>
      </c>
      <c r="C815" s="67">
        <f t="shared" si="649"/>
        <v>51318</v>
      </c>
      <c r="D815" s="38">
        <f t="shared" ref="D815" si="701">IF(WEEKDAY(DATE(A815,B815,1))&gt;3,(7-(WEEKDAY(DATE(A815,B815,1))-3))+DATE(A815,B815,1),3-WEEKDAY(DATE(A815,B815,1))+DATE(A815,B815,1))+14</f>
        <v>51334</v>
      </c>
      <c r="E815" s="37">
        <f t="shared" si="693"/>
        <v>51334</v>
      </c>
      <c r="F815" s="14" t="str">
        <f t="shared" si="694"/>
        <v/>
      </c>
    </row>
    <row r="816" spans="1:6" ht="13.9" customHeight="1" x14ac:dyDescent="0.15">
      <c r="A816" s="10">
        <v>2040</v>
      </c>
      <c r="B816" s="10">
        <f t="shared" si="635"/>
        <v>7</v>
      </c>
      <c r="C816" s="67">
        <f t="shared" si="649"/>
        <v>51318</v>
      </c>
      <c r="D816" s="36">
        <f t="shared" ref="D816" si="702">IF(WEEKDAY((DATE(A814,B814,1)))&gt;4,(7-(WEEKDAY((DATE(A814,B814,1)))-4))+(DATE(A814,B814,1)),4-WEEKDAY((DATE(A814,B814,1)))+(DATE(A814,B814,1)))+21</f>
        <v>51342</v>
      </c>
      <c r="E816" s="37">
        <f t="shared" si="693"/>
        <v>51342</v>
      </c>
      <c r="F816" s="14" t="str">
        <f t="shared" si="694"/>
        <v/>
      </c>
    </row>
    <row r="817" spans="1:6" ht="13.9" customHeight="1" x14ac:dyDescent="0.15">
      <c r="A817" s="10">
        <v>2040</v>
      </c>
      <c r="B817" s="10">
        <f t="shared" ref="B817:B831" si="703">IF(B814+1&gt;12,B814+1-12,B814+1)</f>
        <v>8</v>
      </c>
      <c r="C817" s="67">
        <f t="shared" si="649"/>
        <v>51349</v>
      </c>
      <c r="D817" s="36">
        <f t="shared" ref="D817" si="704">IF(WEEKDAY((DATE(A817,B817,1)))&gt;4,(7-(WEEKDAY((DATE(A817,B817,1)))-4))+(DATE(A817,B817,1)),4-WEEKDAY((DATE(A817,B817,1)))+(DATE(A817,B817,1)))+7</f>
        <v>51356</v>
      </c>
      <c r="E817" s="37">
        <f t="shared" si="693"/>
        <v>51356</v>
      </c>
      <c r="F817" s="14" t="str">
        <f t="shared" si="694"/>
        <v/>
      </c>
    </row>
    <row r="818" spans="1:6" ht="13.9" customHeight="1" x14ac:dyDescent="0.15">
      <c r="A818" s="10">
        <v>2040</v>
      </c>
      <c r="B818" s="10">
        <f t="shared" si="703"/>
        <v>8</v>
      </c>
      <c r="C818" s="67">
        <f t="shared" si="649"/>
        <v>51349</v>
      </c>
      <c r="D818" s="38">
        <f t="shared" ref="D818" si="705">IF(WEEKDAY(DATE(A818,B818,1))&gt;3,(7-(WEEKDAY(DATE(A818,B818,1))-3))+DATE(A818,B818,1),3-WEEKDAY(DATE(A818,B818,1))+DATE(A818,B818,1))+14</f>
        <v>51369</v>
      </c>
      <c r="E818" s="37">
        <f t="shared" si="693"/>
        <v>51369</v>
      </c>
      <c r="F818" s="14" t="str">
        <f t="shared" si="694"/>
        <v/>
      </c>
    </row>
    <row r="819" spans="1:6" ht="13.9" customHeight="1" x14ac:dyDescent="0.15">
      <c r="A819" s="10">
        <v>2040</v>
      </c>
      <c r="B819" s="10">
        <f t="shared" si="703"/>
        <v>8</v>
      </c>
      <c r="C819" s="67">
        <f t="shared" si="649"/>
        <v>51349</v>
      </c>
      <c r="D819" s="36">
        <f t="shared" ref="D819" si="706">IF(WEEKDAY((DATE(A817,B817,1)))&gt;4,(7-(WEEKDAY((DATE(A817,B817,1)))-4))+(DATE(A817,B817,1)),4-WEEKDAY((DATE(A817,B817,1)))+(DATE(A817,B817,1)))+21</f>
        <v>51370</v>
      </c>
      <c r="E819" s="37">
        <f t="shared" si="693"/>
        <v>51370</v>
      </c>
      <c r="F819" s="14" t="str">
        <f t="shared" si="694"/>
        <v/>
      </c>
    </row>
    <row r="820" spans="1:6" ht="13.9" customHeight="1" x14ac:dyDescent="0.15">
      <c r="A820" s="10">
        <v>2040</v>
      </c>
      <c r="B820" s="10">
        <f t="shared" si="703"/>
        <v>9</v>
      </c>
      <c r="C820" s="67">
        <f t="shared" si="649"/>
        <v>51380</v>
      </c>
      <c r="D820" s="36">
        <f t="shared" ref="D820" si="707">IF(WEEKDAY((DATE(A820,B820,1)))&gt;4,(7-(WEEKDAY((DATE(A820,B820,1)))-4))+(DATE(A820,B820,1)),4-WEEKDAY((DATE(A820,B820,1)))+(DATE(A820,B820,1)))+7</f>
        <v>51391</v>
      </c>
      <c r="E820" s="37">
        <f t="shared" si="693"/>
        <v>51391</v>
      </c>
      <c r="F820" s="14" t="str">
        <f t="shared" si="694"/>
        <v/>
      </c>
    </row>
    <row r="821" spans="1:6" ht="13.9" customHeight="1" x14ac:dyDescent="0.15">
      <c r="A821" s="10">
        <v>2040</v>
      </c>
      <c r="B821" s="10">
        <f t="shared" si="703"/>
        <v>9</v>
      </c>
      <c r="C821" s="67">
        <f t="shared" si="649"/>
        <v>51380</v>
      </c>
      <c r="D821" s="38">
        <f t="shared" ref="D821" si="708">IF(WEEKDAY(DATE(A821,B821,1))&gt;3,(7-(WEEKDAY(DATE(A821,B821,1))-3))+DATE(A821,B821,1),3-WEEKDAY(DATE(A821,B821,1))+DATE(A821,B821,1))+14</f>
        <v>51397</v>
      </c>
      <c r="E821" s="37">
        <f t="shared" si="693"/>
        <v>51397</v>
      </c>
      <c r="F821" s="14" t="str">
        <f t="shared" si="694"/>
        <v/>
      </c>
    </row>
    <row r="822" spans="1:6" ht="13.9" customHeight="1" x14ac:dyDescent="0.15">
      <c r="A822" s="10">
        <v>2040</v>
      </c>
      <c r="B822" s="10">
        <f t="shared" si="703"/>
        <v>9</v>
      </c>
      <c r="C822" s="67">
        <f t="shared" si="649"/>
        <v>51380</v>
      </c>
      <c r="D822" s="36">
        <f t="shared" ref="D822" si="709">IF(WEEKDAY((DATE(A820,B820,1)))&gt;4,(7-(WEEKDAY((DATE(A820,B820,1)))-4))+(DATE(A820,B820,1)),4-WEEKDAY((DATE(A820,B820,1)))+(DATE(A820,B820,1)))+21</f>
        <v>51405</v>
      </c>
      <c r="E822" s="37">
        <f t="shared" si="693"/>
        <v>51405</v>
      </c>
      <c r="F822" s="14" t="str">
        <f t="shared" si="694"/>
        <v/>
      </c>
    </row>
    <row r="823" spans="1:6" ht="13.9" customHeight="1" x14ac:dyDescent="0.15">
      <c r="A823" s="10">
        <v>2040</v>
      </c>
      <c r="B823" s="10">
        <f t="shared" si="703"/>
        <v>10</v>
      </c>
      <c r="C823" s="67">
        <f t="shared" si="649"/>
        <v>51410</v>
      </c>
      <c r="D823" s="36">
        <f t="shared" ref="D823" si="710">IF(WEEKDAY((DATE(A823,B823,1)))&gt;4,(7-(WEEKDAY((DATE(A823,B823,1)))-4))+(DATE(A823,B823,1)),4-WEEKDAY((DATE(A823,B823,1)))+(DATE(A823,B823,1)))+7</f>
        <v>51419</v>
      </c>
      <c r="E823" s="37">
        <f t="shared" si="693"/>
        <v>51419</v>
      </c>
      <c r="F823" s="14" t="str">
        <f t="shared" si="694"/>
        <v/>
      </c>
    </row>
    <row r="824" spans="1:6" ht="13.9" customHeight="1" x14ac:dyDescent="0.15">
      <c r="A824" s="10">
        <v>2040</v>
      </c>
      <c r="B824" s="10">
        <f t="shared" si="703"/>
        <v>10</v>
      </c>
      <c r="C824" s="67">
        <f t="shared" si="649"/>
        <v>51410</v>
      </c>
      <c r="D824" s="38">
        <f t="shared" ref="D824" si="711">IF(WEEKDAY(DATE(A824,B824,1))&gt;3,(7-(WEEKDAY(DATE(A824,B824,1))-3))+DATE(A824,B824,1),3-WEEKDAY(DATE(A824,B824,1))+DATE(A824,B824,1))+14</f>
        <v>51425</v>
      </c>
      <c r="E824" s="37">
        <f t="shared" si="693"/>
        <v>51425</v>
      </c>
      <c r="F824" s="14" t="str">
        <f t="shared" si="694"/>
        <v/>
      </c>
    </row>
    <row r="825" spans="1:6" ht="13.9" customHeight="1" x14ac:dyDescent="0.15">
      <c r="A825" s="10">
        <v>2040</v>
      </c>
      <c r="B825" s="10">
        <f t="shared" si="703"/>
        <v>10</v>
      </c>
      <c r="C825" s="67">
        <f t="shared" si="649"/>
        <v>51410</v>
      </c>
      <c r="D825" s="36">
        <f t="shared" ref="D825" si="712">IF(WEEKDAY((DATE(A823,B823,1)))&gt;4,(7-(WEEKDAY((DATE(A823,B823,1)))-4))+(DATE(A823,B823,1)),4-WEEKDAY((DATE(A823,B823,1)))+(DATE(A823,B823,1)))+21</f>
        <v>51433</v>
      </c>
      <c r="E825" s="37">
        <f t="shared" si="693"/>
        <v>51433</v>
      </c>
      <c r="F825" s="14" t="str">
        <f t="shared" si="694"/>
        <v/>
      </c>
    </row>
    <row r="826" spans="1:6" ht="13.9" customHeight="1" x14ac:dyDescent="0.15">
      <c r="A826" s="10">
        <v>2040</v>
      </c>
      <c r="B826" s="10">
        <f t="shared" si="703"/>
        <v>11</v>
      </c>
      <c r="C826" s="67">
        <f t="shared" si="649"/>
        <v>51441</v>
      </c>
      <c r="D826" s="36">
        <f t="shared" ref="D826" si="713">IF(WEEKDAY((DATE(A826,B826,1)))&gt;4,(7-(WEEKDAY((DATE(A826,B826,1)))-4))+(DATE(A826,B826,1)),4-WEEKDAY((DATE(A826,B826,1)))+(DATE(A826,B826,1)))+7</f>
        <v>51454</v>
      </c>
      <c r="E826" s="37">
        <f t="shared" si="693"/>
        <v>51454</v>
      </c>
      <c r="F826" s="14" t="str">
        <f t="shared" si="694"/>
        <v/>
      </c>
    </row>
    <row r="827" spans="1:6" ht="13.9" customHeight="1" x14ac:dyDescent="0.15">
      <c r="A827" s="10">
        <v>2040</v>
      </c>
      <c r="B827" s="10">
        <f t="shared" si="703"/>
        <v>11</v>
      </c>
      <c r="C827" s="67">
        <f t="shared" si="649"/>
        <v>51441</v>
      </c>
      <c r="D827" s="38">
        <f t="shared" ref="D827" si="714">IF(WEEKDAY(DATE(A827,B827,1))&gt;3,(7-(WEEKDAY(DATE(A827,B827,1))-3))+DATE(A827,B827,1),3-WEEKDAY(DATE(A827,B827,1))+DATE(A827,B827,1))+14</f>
        <v>51460</v>
      </c>
      <c r="E827" s="37">
        <f t="shared" si="693"/>
        <v>51460</v>
      </c>
      <c r="F827" s="14" t="str">
        <f t="shared" si="694"/>
        <v/>
      </c>
    </row>
    <row r="828" spans="1:6" ht="13.9" customHeight="1" x14ac:dyDescent="0.15">
      <c r="A828" s="10">
        <v>2040</v>
      </c>
      <c r="B828" s="10">
        <f t="shared" si="703"/>
        <v>11</v>
      </c>
      <c r="C828" s="67">
        <f t="shared" si="649"/>
        <v>51441</v>
      </c>
      <c r="D828" s="36">
        <f t="shared" ref="D828" si="715">IF(WEEKDAY((DATE(A826,B826,1)))&gt;4,(7-(WEEKDAY((DATE(A826,B826,1)))-4))+(DATE(A826,B826,1)),4-WEEKDAY((DATE(A826,B826,1)))+(DATE(A826,B826,1)))+21</f>
        <v>51468</v>
      </c>
      <c r="E828" s="37">
        <f t="shared" si="693"/>
        <v>51468</v>
      </c>
      <c r="F828" s="14" t="str">
        <f t="shared" si="694"/>
        <v/>
      </c>
    </row>
    <row r="829" spans="1:6" ht="13.9" customHeight="1" x14ac:dyDescent="0.15">
      <c r="A829" s="10">
        <v>2040</v>
      </c>
      <c r="B829" s="10">
        <f t="shared" si="703"/>
        <v>12</v>
      </c>
      <c r="C829" s="67">
        <f t="shared" si="649"/>
        <v>51471</v>
      </c>
      <c r="D829" s="36">
        <f t="shared" ref="D829" si="716">IF(WEEKDAY((DATE(A829,B829,1)))&gt;4,(7-(WEEKDAY((DATE(A829,B829,1)))-4))+(DATE(A829,B829,1)),4-WEEKDAY((DATE(A829,B829,1)))+(DATE(A829,B829,1)))+7</f>
        <v>51482</v>
      </c>
      <c r="E829" s="37">
        <f t="shared" si="693"/>
        <v>51482</v>
      </c>
      <c r="F829" s="14" t="str">
        <f t="shared" si="694"/>
        <v/>
      </c>
    </row>
    <row r="830" spans="1:6" ht="13.9" customHeight="1" x14ac:dyDescent="0.15">
      <c r="A830" s="10">
        <v>2040</v>
      </c>
      <c r="B830" s="10">
        <f t="shared" si="703"/>
        <v>12</v>
      </c>
      <c r="C830" s="67">
        <f t="shared" ref="C830:C831" si="717">DATE(A830,B830,1)</f>
        <v>51471</v>
      </c>
      <c r="D830" s="38">
        <f t="shared" ref="D830" si="718">IF(WEEKDAY(DATE(A830,B830,1))&gt;3,(7-(WEEKDAY(DATE(A830,B830,1))-3))+DATE(A830,B830,1),3-WEEKDAY(DATE(A830,B830,1))+DATE(A830,B830,1))+14</f>
        <v>51488</v>
      </c>
      <c r="E830" s="37">
        <f t="shared" si="693"/>
        <v>51488</v>
      </c>
      <c r="F830" s="14" t="str">
        <f t="shared" si="694"/>
        <v/>
      </c>
    </row>
    <row r="831" spans="1:6" ht="13.9" customHeight="1" x14ac:dyDescent="0.15">
      <c r="A831" s="10">
        <v>2040</v>
      </c>
      <c r="B831" s="10">
        <f t="shared" si="703"/>
        <v>12</v>
      </c>
      <c r="C831" s="67">
        <f t="shared" si="717"/>
        <v>51471</v>
      </c>
      <c r="D831" s="36">
        <f t="shared" ref="D831" si="719">IF(WEEKDAY((DATE(A829,B829,1)))&gt;4,(7-(WEEKDAY((DATE(A829,B829,1)))-4))+(DATE(A829,B829,1)),4-WEEKDAY((DATE(A829,B829,1)))+(DATE(A829,B829,1)))+21</f>
        <v>51496</v>
      </c>
      <c r="E831" s="37">
        <f t="shared" si="693"/>
        <v>51496</v>
      </c>
      <c r="F831" s="14" t="str">
        <f t="shared" si="694"/>
        <v/>
      </c>
    </row>
  </sheetData>
  <sheetProtection selectLockedCells="1"/>
  <mergeCells count="3">
    <mergeCell ref="D3:F3"/>
    <mergeCell ref="BA40:BG40"/>
    <mergeCell ref="D2:G2"/>
  </mergeCells>
  <phoneticPr fontId="1"/>
  <conditionalFormatting sqref="H37:AH117 H118:AN141">
    <cfRule type="expression" dxfId="3" priority="7">
      <formula>COUNTIF($AT37:$AY37,H$1)=1</formula>
    </cfRule>
    <cfRule type="expression" dxfId="2" priority="8">
      <formula>COUNTIF($AR37:$AS37,H$1)=1</formula>
    </cfRule>
  </conditionalFormatting>
  <conditionalFormatting sqref="AI37:AQ75 AI76:AN117">
    <cfRule type="expression" dxfId="1" priority="5">
      <formula>COUNTIF($AT37:$AY37,#REF!)=1</formula>
    </cfRule>
    <cfRule type="expression" dxfId="0" priority="6">
      <formula>COUNTIF($AR37:$AS37,#REF!)=1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39"/>
  <sheetViews>
    <sheetView zoomScale="50" zoomScaleNormal="50" workbookViewId="0">
      <selection activeCell="A3" sqref="A3"/>
    </sheetView>
  </sheetViews>
  <sheetFormatPr defaultRowHeight="21" x14ac:dyDescent="0.15"/>
  <cols>
    <col min="1" max="2" width="12.75" customWidth="1"/>
    <col min="3" max="3" width="5.875" customWidth="1"/>
    <col min="4" max="4" width="5.5" customWidth="1"/>
    <col min="5" max="5" width="17.25" customWidth="1"/>
    <col min="6" max="6" width="11.5" hidden="1" customWidth="1"/>
    <col min="7" max="7" width="53.375" hidden="1" customWidth="1"/>
    <col min="8" max="8" width="20.5" style="47" customWidth="1"/>
    <col min="9" max="9" width="21.875" style="52" customWidth="1"/>
    <col min="10" max="10" width="20.5" style="47" customWidth="1"/>
    <col min="11" max="11" width="21.875" style="52" customWidth="1"/>
    <col min="12" max="12" width="12.375" customWidth="1"/>
  </cols>
  <sheetData>
    <row r="1" spans="1:13" ht="39" customHeight="1" x14ac:dyDescent="0.15">
      <c r="A1" s="7">
        <v>2026</v>
      </c>
      <c r="B1" s="7" t="s">
        <v>18</v>
      </c>
      <c r="C1" s="53" t="s">
        <v>57</v>
      </c>
      <c r="D1" s="54" t="s">
        <v>19</v>
      </c>
      <c r="E1" s="54" t="s">
        <v>20</v>
      </c>
      <c r="F1">
        <f>MATCH(DATE(A1,C1,1),らいふクリニック!C:C)</f>
        <v>267</v>
      </c>
      <c r="G1" t="s">
        <v>21</v>
      </c>
      <c r="H1" s="126" t="s">
        <v>41</v>
      </c>
      <c r="I1" s="126"/>
      <c r="J1" s="126"/>
      <c r="K1" s="126"/>
    </row>
    <row r="2" spans="1:13" ht="40.15" customHeight="1" x14ac:dyDescent="0.15">
      <c r="A2" s="94" t="s">
        <v>61</v>
      </c>
      <c r="F2">
        <v>1</v>
      </c>
      <c r="H2" s="44">
        <f>INDEX(らいふクリニック!$D:$F,印刷画面!$F$1+F2-3,1)</f>
        <v>46120</v>
      </c>
      <c r="I2" s="48" t="str">
        <f>INDEX(らいふクリニック!E:G,印刷画面!$F$1+F2-3,2)</f>
        <v>諸田　悠也</v>
      </c>
      <c r="J2" s="44">
        <f>H20</f>
        <v>46309</v>
      </c>
      <c r="K2" s="48" t="str">
        <f>I20</f>
        <v>袋　隼哉</v>
      </c>
      <c r="L2" s="43"/>
      <c r="M2" s="43"/>
    </row>
    <row r="3" spans="1:13" ht="40.15" customHeight="1" x14ac:dyDescent="0.15">
      <c r="A3" s="94" t="s">
        <v>62</v>
      </c>
      <c r="F3">
        <v>2</v>
      </c>
      <c r="H3" s="45">
        <f>INDEX(らいふクリニック!$D:$F,印刷画面!$F$1+F3-3,1)</f>
        <v>46133</v>
      </c>
      <c r="I3" s="49" t="str">
        <f>INDEX(らいふクリニック!E:G,印刷画面!$F$1+F3-3,2)</f>
        <v>雨池　凌也</v>
      </c>
      <c r="J3" s="45">
        <f t="shared" ref="J3:J19" si="0">H21</f>
        <v>46315</v>
      </c>
      <c r="K3" s="49" t="str">
        <f t="shared" ref="K3:K19" si="1">I21</f>
        <v>諸田　悠也</v>
      </c>
      <c r="L3" s="43"/>
      <c r="M3" s="43"/>
    </row>
    <row r="4" spans="1:13" ht="40.15" customHeight="1" x14ac:dyDescent="0.15">
      <c r="A4" s="94" t="s">
        <v>63</v>
      </c>
      <c r="F4">
        <v>3</v>
      </c>
      <c r="H4" s="45">
        <f>INDEX(らいふクリニック!$D:$F,印刷画面!$F$1+F4-3,1)</f>
        <v>46134</v>
      </c>
      <c r="I4" s="49" t="str">
        <f>INDEX(らいふクリニック!E:G,印刷画面!$F$1+F4-3,2)</f>
        <v>平田 恵哉</v>
      </c>
      <c r="J4" s="45">
        <f t="shared" si="0"/>
        <v>46323</v>
      </c>
      <c r="K4" s="49" t="str">
        <f t="shared" si="1"/>
        <v>中川　大誠</v>
      </c>
      <c r="L4" s="43"/>
      <c r="M4" s="43"/>
    </row>
    <row r="5" spans="1:13" ht="40.15" customHeight="1" x14ac:dyDescent="0.15">
      <c r="F5">
        <v>4</v>
      </c>
      <c r="H5" s="45">
        <f>INDEX(らいふクリニック!$D:$F,印刷画面!$F$1+F5-3,1)</f>
        <v>46155</v>
      </c>
      <c r="I5" s="49" t="str">
        <f>INDEX(らいふクリニック!E:G,印刷画面!$F$1+F5-3,2)</f>
        <v>菅野　祐萌</v>
      </c>
      <c r="J5" s="45">
        <f t="shared" si="0"/>
        <v>46337</v>
      </c>
      <c r="K5" s="49" t="str">
        <f t="shared" si="1"/>
        <v/>
      </c>
      <c r="L5" s="43"/>
      <c r="M5" s="43"/>
    </row>
    <row r="6" spans="1:13" ht="40.15" customHeight="1" x14ac:dyDescent="0.15">
      <c r="F6">
        <v>5</v>
      </c>
      <c r="H6" s="45">
        <f>INDEX(らいふクリニック!$D:$F,印刷画面!$F$1+F6-3,1)</f>
        <v>46161</v>
      </c>
      <c r="I6" s="49" t="str">
        <f>INDEX(らいふクリニック!E:G,印刷画面!$F$1+F6-3,2)</f>
        <v>樫田　尚</v>
      </c>
      <c r="J6" s="45">
        <f t="shared" si="0"/>
        <v>46343</v>
      </c>
      <c r="K6" s="49" t="str">
        <f t="shared" si="1"/>
        <v/>
      </c>
      <c r="L6" s="43"/>
      <c r="M6" s="43"/>
    </row>
    <row r="7" spans="1:13" ht="40.15" customHeight="1" x14ac:dyDescent="0.15">
      <c r="F7">
        <v>6</v>
      </c>
      <c r="H7" s="45">
        <f>INDEX(らいふクリニック!$D:$F,印刷画面!$F$1+F7-3,1)</f>
        <v>46169</v>
      </c>
      <c r="I7" s="49" t="str">
        <f>INDEX(らいふクリニック!E:G,印刷画面!$F$1+F7-3,2)</f>
        <v>吉田 汐里</v>
      </c>
      <c r="J7" s="45">
        <f t="shared" si="0"/>
        <v>46351</v>
      </c>
      <c r="K7" s="49" t="str">
        <f t="shared" si="1"/>
        <v/>
      </c>
      <c r="L7" s="43"/>
      <c r="M7" s="43"/>
    </row>
    <row r="8" spans="1:13" ht="40.15" customHeight="1" x14ac:dyDescent="0.15">
      <c r="F8">
        <v>7</v>
      </c>
      <c r="H8" s="45">
        <f>INDEX(らいふクリニック!$D:$F,印刷画面!$F$1+F8-3,1)</f>
        <v>46183</v>
      </c>
      <c r="I8" s="49" t="str">
        <f>INDEX(らいふクリニック!E:G,印刷画面!$F$1+F8-3,2)</f>
        <v>長田 弘二</v>
      </c>
      <c r="J8" s="45">
        <f t="shared" si="0"/>
        <v>46365</v>
      </c>
      <c r="K8" s="49" t="str">
        <f t="shared" si="1"/>
        <v/>
      </c>
      <c r="L8" s="43"/>
      <c r="M8" s="43"/>
    </row>
    <row r="9" spans="1:13" ht="40.15" customHeight="1" x14ac:dyDescent="0.15">
      <c r="F9">
        <v>8</v>
      </c>
      <c r="H9" s="45">
        <f>INDEX(らいふクリニック!$D:$F,印刷画面!$F$1+F9-3,1)</f>
        <v>46189</v>
      </c>
      <c r="I9" s="49" t="str">
        <f>INDEX(らいふクリニック!E:G,印刷画面!$F$1+F9-3,2)</f>
        <v>田村 能之</v>
      </c>
      <c r="J9" s="45">
        <f t="shared" si="0"/>
        <v>46371</v>
      </c>
      <c r="K9" s="49" t="str">
        <f t="shared" si="1"/>
        <v/>
      </c>
      <c r="L9" s="43"/>
      <c r="M9" s="43"/>
    </row>
    <row r="10" spans="1:13" ht="40.15" customHeight="1" x14ac:dyDescent="0.15">
      <c r="F10">
        <v>9</v>
      </c>
      <c r="H10" s="45">
        <f>INDEX(らいふクリニック!$D:$F,印刷画面!$F$1+F10-3,1)</f>
        <v>46197</v>
      </c>
      <c r="I10" s="49" t="str">
        <f>INDEX(らいふクリニック!E:G,印刷画面!$F$1+F10-3,2)</f>
        <v>西郡　健太</v>
      </c>
      <c r="J10" s="45">
        <f t="shared" si="0"/>
        <v>46379</v>
      </c>
      <c r="K10" s="49" t="str">
        <f t="shared" si="1"/>
        <v/>
      </c>
      <c r="L10" s="43"/>
      <c r="M10" s="43"/>
    </row>
    <row r="11" spans="1:13" ht="40.15" customHeight="1" x14ac:dyDescent="0.15">
      <c r="F11">
        <v>10</v>
      </c>
      <c r="H11" s="45">
        <f>INDEX(らいふクリニック!$D:$F,印刷画面!$F$1+F11-3,1)</f>
        <v>46211</v>
      </c>
      <c r="I11" s="49" t="str">
        <f>INDEX(らいふクリニック!E:G,印刷画面!$F$1+F11-3,2)</f>
        <v>別所　貴仁</v>
      </c>
      <c r="J11" s="45">
        <f t="shared" si="0"/>
        <v>46400</v>
      </c>
      <c r="K11" s="49" t="str">
        <f t="shared" si="1"/>
        <v/>
      </c>
      <c r="L11" s="43"/>
      <c r="M11" s="43"/>
    </row>
    <row r="12" spans="1:13" ht="40.15" customHeight="1" x14ac:dyDescent="0.15">
      <c r="F12">
        <v>11</v>
      </c>
      <c r="H12" s="45">
        <f>INDEX(らいふクリニック!$D:$F,印刷画面!$F$1+F12-3,1)</f>
        <v>46224</v>
      </c>
      <c r="I12" s="49" t="str">
        <f>INDEX(らいふクリニック!E:G,印刷画面!$F$1+F12-3,2)</f>
        <v>福知　千佳</v>
      </c>
      <c r="J12" s="45">
        <f t="shared" si="0"/>
        <v>46406</v>
      </c>
      <c r="K12" s="49" t="str">
        <f t="shared" si="1"/>
        <v/>
      </c>
      <c r="L12" s="43"/>
      <c r="M12" s="43"/>
    </row>
    <row r="13" spans="1:13" ht="40.15" customHeight="1" x14ac:dyDescent="0.15">
      <c r="F13">
        <v>12</v>
      </c>
      <c r="H13" s="45">
        <f>INDEX(らいふクリニック!$D:$F,印刷画面!$F$1+F13-3,1)</f>
        <v>46225</v>
      </c>
      <c r="I13" s="49" t="str">
        <f>INDEX(らいふクリニック!E:G,印刷画面!$F$1+F13-3,2)</f>
        <v>中川　大誠</v>
      </c>
      <c r="J13" s="45">
        <f t="shared" si="0"/>
        <v>46414</v>
      </c>
      <c r="K13" s="49" t="str">
        <f t="shared" si="1"/>
        <v/>
      </c>
      <c r="L13" s="43"/>
      <c r="M13" s="43"/>
    </row>
    <row r="14" spans="1:13" ht="40.15" customHeight="1" x14ac:dyDescent="0.15">
      <c r="F14">
        <v>13</v>
      </c>
      <c r="H14" s="45">
        <f>INDEX(らいふクリニック!$D:$F,印刷画面!$F$1+F14-3,1)</f>
        <v>46246</v>
      </c>
      <c r="I14" s="49" t="str">
        <f>INDEX(らいふクリニック!E:G,印刷画面!$F$1+F14-3,2)</f>
        <v>庵　緋沙子</v>
      </c>
      <c r="J14" s="45">
        <f t="shared" si="0"/>
        <v>46428</v>
      </c>
      <c r="K14" s="49" t="str">
        <f t="shared" si="1"/>
        <v/>
      </c>
      <c r="L14" s="43"/>
      <c r="M14" s="43"/>
    </row>
    <row r="15" spans="1:13" ht="40.15" customHeight="1" x14ac:dyDescent="0.15">
      <c r="F15">
        <v>14</v>
      </c>
      <c r="H15" s="45">
        <f>INDEX(らいふクリニック!$D:$F,印刷画面!$F$1+F15-3,1)</f>
        <v>46252</v>
      </c>
      <c r="I15" s="49" t="str">
        <f>INDEX(らいふクリニック!E:G,印刷画面!$F$1+F15-3,2)</f>
        <v>袋　隼哉</v>
      </c>
      <c r="J15" s="45">
        <f t="shared" si="0"/>
        <v>46434</v>
      </c>
      <c r="K15" s="49" t="str">
        <f t="shared" si="1"/>
        <v/>
      </c>
      <c r="L15" s="43"/>
      <c r="M15" s="43"/>
    </row>
    <row r="16" spans="1:13" ht="40.15" customHeight="1" x14ac:dyDescent="0.15">
      <c r="F16">
        <v>15</v>
      </c>
      <c r="H16" s="45">
        <f>INDEX(らいふクリニック!$D:$F,印刷画面!$F$1+F16-3,1)</f>
        <v>46260</v>
      </c>
      <c r="I16" s="49" t="str">
        <f>INDEX(らいふクリニック!E:G,印刷画面!$F$1+F16-3,2)</f>
        <v>林 亮子</v>
      </c>
      <c r="J16" s="45">
        <f>H34</f>
        <v>46442</v>
      </c>
      <c r="K16" s="49" t="str">
        <f t="shared" si="1"/>
        <v/>
      </c>
      <c r="L16" s="43"/>
      <c r="M16" s="43"/>
    </row>
    <row r="17" spans="6:13" ht="40.15" customHeight="1" x14ac:dyDescent="0.15">
      <c r="F17">
        <v>16</v>
      </c>
      <c r="H17" s="45">
        <f>INDEX(らいふクリニック!$D:$F,印刷画面!$F$1+F17-3,1)</f>
        <v>46274</v>
      </c>
      <c r="I17" s="49" t="str">
        <f>INDEX(らいふクリニック!E:G,印刷画面!$F$1+F17-3,2)</f>
        <v>小竹　祐太朗　</v>
      </c>
      <c r="J17" s="45">
        <f t="shared" si="0"/>
        <v>46456</v>
      </c>
      <c r="K17" s="49" t="str">
        <f t="shared" si="1"/>
        <v/>
      </c>
      <c r="L17" s="43"/>
      <c r="M17" s="43"/>
    </row>
    <row r="18" spans="6:13" ht="40.15" customHeight="1" x14ac:dyDescent="0.15">
      <c r="F18">
        <v>17</v>
      </c>
      <c r="H18" s="45">
        <f>INDEX(らいふクリニック!$D:$F,印刷画面!$F$1+F18-3,1)</f>
        <v>46280</v>
      </c>
      <c r="I18" s="49" t="str">
        <f>INDEX(らいふクリニック!E:G,印刷画面!$F$1+F18-3,2)</f>
        <v>西明 千織</v>
      </c>
      <c r="J18" s="45">
        <f t="shared" si="0"/>
        <v>46462</v>
      </c>
      <c r="K18" s="49" t="str">
        <f t="shared" si="1"/>
        <v/>
      </c>
      <c r="L18" s="43"/>
      <c r="M18" s="43"/>
    </row>
    <row r="19" spans="6:13" ht="40.15" customHeight="1" x14ac:dyDescent="0.15">
      <c r="F19">
        <v>18</v>
      </c>
      <c r="H19" s="46">
        <f>INDEX(らいふクリニック!$D:$F,印刷画面!$F$1+F19-3,1)</f>
        <v>46288</v>
      </c>
      <c r="I19" s="50" t="str">
        <f>INDEX(らいふクリニック!E:G,印刷画面!$F$1+F19-3,2)</f>
        <v>齊藤 久紘</v>
      </c>
      <c r="J19" s="46">
        <f t="shared" si="0"/>
        <v>46470</v>
      </c>
      <c r="K19" s="50" t="str">
        <f t="shared" si="1"/>
        <v/>
      </c>
      <c r="L19" s="43"/>
      <c r="M19" s="43"/>
    </row>
    <row r="20" spans="6:13" ht="33.6" hidden="1" customHeight="1" x14ac:dyDescent="0.15">
      <c r="F20">
        <v>19</v>
      </c>
      <c r="H20" s="47">
        <f>INDEX(らいふクリニック!$D:$F,印刷画面!$F$1+F20-3,1)</f>
        <v>46309</v>
      </c>
      <c r="I20" s="51" t="str">
        <f>INDEX(らいふクリニック!E:G,印刷画面!$F$1+F20-3,2)</f>
        <v>袋　隼哉</v>
      </c>
    </row>
    <row r="21" spans="6:13" ht="33.6" hidden="1" customHeight="1" x14ac:dyDescent="0.15">
      <c r="F21">
        <v>20</v>
      </c>
      <c r="H21" s="47">
        <f>INDEX(らいふクリニック!$D:$F,印刷画面!$F$1+F21-3,1)</f>
        <v>46315</v>
      </c>
      <c r="I21" s="51" t="str">
        <f>INDEX(らいふクリニック!E:G,印刷画面!$F$1+F21-3,2)</f>
        <v>諸田　悠也</v>
      </c>
    </row>
    <row r="22" spans="6:13" ht="33.6" hidden="1" customHeight="1" x14ac:dyDescent="0.15">
      <c r="F22">
        <v>21</v>
      </c>
      <c r="H22" s="47">
        <f>INDEX(らいふクリニック!$D:$F,印刷画面!$F$1+F22-3,1)</f>
        <v>46323</v>
      </c>
      <c r="I22" s="51" t="str">
        <f>INDEX(らいふクリニック!E:G,印刷画面!$F$1+F22-3,2)</f>
        <v>中川　大誠</v>
      </c>
    </row>
    <row r="23" spans="6:13" ht="33.6" hidden="1" customHeight="1" x14ac:dyDescent="0.15">
      <c r="F23">
        <v>22</v>
      </c>
      <c r="H23" s="47">
        <f>INDEX(らいふクリニック!$D:$F,印刷画面!$F$1+F23-3,1)</f>
        <v>46337</v>
      </c>
      <c r="I23" s="51" t="str">
        <f>INDEX(らいふクリニック!E:G,印刷画面!$F$1+F23-3,2)</f>
        <v/>
      </c>
    </row>
    <row r="24" spans="6:13" ht="33.6" hidden="1" customHeight="1" x14ac:dyDescent="0.15">
      <c r="F24">
        <v>23</v>
      </c>
      <c r="H24" s="47">
        <f>INDEX(らいふクリニック!$D:$F,印刷画面!$F$1+F24-3,1)</f>
        <v>46343</v>
      </c>
      <c r="I24" s="51" t="str">
        <f>INDEX(らいふクリニック!E:G,印刷画面!$F$1+F24-3,2)</f>
        <v/>
      </c>
    </row>
    <row r="25" spans="6:13" ht="33.6" hidden="1" customHeight="1" x14ac:dyDescent="0.15">
      <c r="F25">
        <v>24</v>
      </c>
      <c r="H25" s="47">
        <f>INDEX(らいふクリニック!$D:$F,印刷画面!$F$1+F25-3,1)</f>
        <v>46351</v>
      </c>
      <c r="I25" s="51" t="str">
        <f>INDEX(らいふクリニック!E:G,印刷画面!$F$1+F25-3,2)</f>
        <v/>
      </c>
    </row>
    <row r="26" spans="6:13" ht="33.6" hidden="1" customHeight="1" x14ac:dyDescent="0.15">
      <c r="F26">
        <v>25</v>
      </c>
      <c r="H26" s="47">
        <f>INDEX(らいふクリニック!$D:$F,印刷画面!$F$1+F26-3,1)</f>
        <v>46365</v>
      </c>
      <c r="I26" s="51" t="str">
        <f>INDEX(らいふクリニック!E:G,印刷画面!$F$1+F26-3,2)</f>
        <v/>
      </c>
    </row>
    <row r="27" spans="6:13" ht="33.6" hidden="1" customHeight="1" x14ac:dyDescent="0.15">
      <c r="F27">
        <v>26</v>
      </c>
      <c r="H27" s="47">
        <f>INDEX(らいふクリニック!$D:$F,印刷画面!$F$1+F27-3,1)</f>
        <v>46371</v>
      </c>
      <c r="I27" s="51" t="str">
        <f>INDEX(らいふクリニック!E:G,印刷画面!$F$1+F27-3,2)</f>
        <v/>
      </c>
    </row>
    <row r="28" spans="6:13" ht="33.6" hidden="1" customHeight="1" x14ac:dyDescent="0.15">
      <c r="F28">
        <v>27</v>
      </c>
      <c r="H28" s="47">
        <f>INDEX(らいふクリニック!$D:$F,印刷画面!$F$1+F28-3,1)</f>
        <v>46379</v>
      </c>
      <c r="I28" s="51" t="str">
        <f>INDEX(らいふクリニック!E:G,印刷画面!$F$1+F28-3,2)</f>
        <v/>
      </c>
    </row>
    <row r="29" spans="6:13" ht="33.6" hidden="1" customHeight="1" x14ac:dyDescent="0.15">
      <c r="F29">
        <v>28</v>
      </c>
      <c r="H29" s="47">
        <f>INDEX(らいふクリニック!$D:$F,印刷画面!$F$1+F29-3,1)</f>
        <v>46400</v>
      </c>
      <c r="I29" s="51" t="str">
        <f>INDEX(らいふクリニック!E:G,印刷画面!$F$1+F29-3,2)</f>
        <v/>
      </c>
    </row>
    <row r="30" spans="6:13" ht="33.6" hidden="1" customHeight="1" x14ac:dyDescent="0.15">
      <c r="F30">
        <v>29</v>
      </c>
      <c r="H30" s="47">
        <f>INDEX(らいふクリニック!$D:$F,印刷画面!$F$1+F30-3,1)</f>
        <v>46406</v>
      </c>
      <c r="I30" s="51" t="str">
        <f>INDEX(らいふクリニック!E:G,印刷画面!$F$1+F30-3,2)</f>
        <v/>
      </c>
    </row>
    <row r="31" spans="6:13" ht="33.6" hidden="1" customHeight="1" x14ac:dyDescent="0.15">
      <c r="F31">
        <v>30</v>
      </c>
      <c r="H31" s="47">
        <f>INDEX(らいふクリニック!$D:$F,印刷画面!$F$1+F31-3,1)</f>
        <v>46414</v>
      </c>
      <c r="I31" s="51" t="str">
        <f>INDEX(らいふクリニック!E:G,印刷画面!$F$1+F31-3,2)</f>
        <v/>
      </c>
    </row>
    <row r="32" spans="6:13" ht="33.6" hidden="1" customHeight="1" x14ac:dyDescent="0.15">
      <c r="F32">
        <v>31</v>
      </c>
      <c r="H32" s="47">
        <f>INDEX(らいふクリニック!$D:$F,印刷画面!$F$1+F32-3,1)</f>
        <v>46428</v>
      </c>
      <c r="I32" s="51" t="str">
        <f>INDEX(らいふクリニック!E:G,印刷画面!$F$1+F32-3,2)</f>
        <v/>
      </c>
    </row>
    <row r="33" spans="6:9" ht="33.6" hidden="1" customHeight="1" x14ac:dyDescent="0.15">
      <c r="F33">
        <v>32</v>
      </c>
      <c r="H33" s="47">
        <f>INDEX(らいふクリニック!$D:$F,印刷画面!$F$1+F33-3,1)</f>
        <v>46434</v>
      </c>
      <c r="I33" s="51" t="str">
        <f>INDEX(らいふクリニック!E:G,印刷画面!$F$1+F33-3,2)</f>
        <v/>
      </c>
    </row>
    <row r="34" spans="6:9" ht="33.6" hidden="1" customHeight="1" x14ac:dyDescent="0.15">
      <c r="F34">
        <v>33</v>
      </c>
      <c r="H34" s="47">
        <f>INDEX(らいふクリニック!$D:$F,印刷画面!$F$1+F34-3,1)</f>
        <v>46442</v>
      </c>
      <c r="I34" s="51" t="str">
        <f>INDEX(らいふクリニック!E:G,印刷画面!$F$1+F34-3,2)</f>
        <v/>
      </c>
    </row>
    <row r="35" spans="6:9" ht="33.6" hidden="1" customHeight="1" x14ac:dyDescent="0.15">
      <c r="F35">
        <v>34</v>
      </c>
      <c r="H35" s="47">
        <f>INDEX(らいふクリニック!$D:$F,印刷画面!$F$1+F35-3,1)</f>
        <v>46456</v>
      </c>
      <c r="I35" s="51" t="str">
        <f>INDEX(らいふクリニック!E:G,印刷画面!$F$1+F35-3,2)</f>
        <v/>
      </c>
    </row>
    <row r="36" spans="6:9" ht="33.6" hidden="1" customHeight="1" x14ac:dyDescent="0.15">
      <c r="F36">
        <v>35</v>
      </c>
      <c r="H36" s="47">
        <f>INDEX(らいふクリニック!$D:$F,印刷画面!$F$1+F36-3,1)</f>
        <v>46462</v>
      </c>
      <c r="I36" s="51" t="str">
        <f>INDEX(らいふクリニック!E:G,印刷画面!$F$1+F36-3,2)</f>
        <v/>
      </c>
    </row>
    <row r="37" spans="6:9" ht="33.6" hidden="1" customHeight="1" x14ac:dyDescent="0.15">
      <c r="F37">
        <v>36</v>
      </c>
      <c r="H37" s="47">
        <f>INDEX(らいふクリニック!$D:$F,印刷画面!$F$1+F37-3,1)</f>
        <v>46470</v>
      </c>
      <c r="I37" s="51" t="str">
        <f>INDEX(らいふクリニック!E:G,印刷画面!$F$1+F37-3,2)</f>
        <v/>
      </c>
    </row>
    <row r="38" spans="6:9" hidden="1" x14ac:dyDescent="0.15"/>
    <row r="39" spans="6:9" hidden="1" x14ac:dyDescent="0.15"/>
  </sheetData>
  <mergeCells count="1">
    <mergeCell ref="H1:K1"/>
  </mergeCells>
  <phoneticPr fontId="1"/>
  <pageMargins left="1.1023622047244095" right="0.70866141732283472" top="0.74803149606299213" bottom="0.74803149606299213" header="0.31496062992125984" footer="0.31496062992125984"/>
  <pageSetup paperSize="9" scale="9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2825-E215-41DA-BD65-3BCD9B8BE591}">
  <sheetPr>
    <pageSetUpPr fitToPage="1"/>
  </sheetPr>
  <dimension ref="A1:C32"/>
  <sheetViews>
    <sheetView view="pageBreakPreview" zoomScale="60" zoomScaleNormal="100" workbookViewId="0">
      <selection activeCell="C34" sqref="C34"/>
    </sheetView>
  </sheetViews>
  <sheetFormatPr defaultRowHeight="13.5" x14ac:dyDescent="0.15"/>
  <cols>
    <col min="2" max="2" width="17.375" customWidth="1"/>
    <col min="3" max="3" width="17.5" customWidth="1"/>
    <col min="4" max="33" width="5.625" customWidth="1"/>
  </cols>
  <sheetData>
    <row r="1" spans="1:3" s="118" customFormat="1" ht="24.95" customHeight="1" x14ac:dyDescent="0.15">
      <c r="A1" s="117"/>
      <c r="B1" s="117" t="s">
        <v>107</v>
      </c>
      <c r="C1" s="117"/>
    </row>
    <row r="2" spans="1:3" s="118" customFormat="1" ht="24.95" customHeight="1" x14ac:dyDescent="0.15">
      <c r="A2" s="117">
        <v>1</v>
      </c>
      <c r="B2" s="117" t="s">
        <v>79</v>
      </c>
      <c r="C2" s="117"/>
    </row>
    <row r="3" spans="1:3" s="118" customFormat="1" ht="24.95" customHeight="1" x14ac:dyDescent="0.15">
      <c r="A3" s="117">
        <v>2</v>
      </c>
      <c r="B3" s="117" t="s">
        <v>80</v>
      </c>
      <c r="C3" s="117"/>
    </row>
    <row r="4" spans="1:3" s="118" customFormat="1" ht="24.95" customHeight="1" x14ac:dyDescent="0.15">
      <c r="A4" s="117">
        <v>3</v>
      </c>
      <c r="B4" s="117" t="s">
        <v>81</v>
      </c>
      <c r="C4" s="117"/>
    </row>
    <row r="5" spans="1:3" s="118" customFormat="1" ht="24.95" customHeight="1" x14ac:dyDescent="0.15">
      <c r="A5" s="117">
        <v>4</v>
      </c>
      <c r="B5" s="117" t="s">
        <v>82</v>
      </c>
      <c r="C5" s="117"/>
    </row>
    <row r="6" spans="1:3" s="118" customFormat="1" ht="24.95" customHeight="1" x14ac:dyDescent="0.15">
      <c r="A6" s="117">
        <v>5</v>
      </c>
      <c r="B6" s="117" t="s">
        <v>83</v>
      </c>
      <c r="C6" s="117"/>
    </row>
    <row r="7" spans="1:3" s="118" customFormat="1" ht="24.95" customHeight="1" x14ac:dyDescent="0.15">
      <c r="A7" s="117">
        <v>6</v>
      </c>
      <c r="B7" s="117" t="s">
        <v>84</v>
      </c>
      <c r="C7" s="117"/>
    </row>
    <row r="8" spans="1:3" s="118" customFormat="1" ht="24.95" customHeight="1" x14ac:dyDescent="0.15">
      <c r="A8" s="117">
        <v>7</v>
      </c>
      <c r="B8" s="117" t="s">
        <v>85</v>
      </c>
      <c r="C8" s="117"/>
    </row>
    <row r="9" spans="1:3" s="118" customFormat="1" ht="24.95" customHeight="1" x14ac:dyDescent="0.15">
      <c r="A9" s="117">
        <v>8</v>
      </c>
      <c r="B9" s="117" t="s">
        <v>86</v>
      </c>
      <c r="C9" s="117"/>
    </row>
    <row r="10" spans="1:3" s="118" customFormat="1" ht="24.95" customHeight="1" x14ac:dyDescent="0.15">
      <c r="A10" s="117">
        <v>9</v>
      </c>
      <c r="B10" s="117" t="s">
        <v>87</v>
      </c>
      <c r="C10" s="117"/>
    </row>
    <row r="11" spans="1:3" s="118" customFormat="1" ht="24.95" customHeight="1" x14ac:dyDescent="0.15">
      <c r="A11" s="117">
        <v>10</v>
      </c>
      <c r="B11" s="117" t="s">
        <v>88</v>
      </c>
      <c r="C11" s="117"/>
    </row>
    <row r="12" spans="1:3" s="118" customFormat="1" ht="24.95" customHeight="1" x14ac:dyDescent="0.15">
      <c r="A12" s="117">
        <v>11</v>
      </c>
      <c r="B12" s="117" t="s">
        <v>89</v>
      </c>
      <c r="C12" s="117"/>
    </row>
    <row r="13" spans="1:3" s="118" customFormat="1" ht="24.95" customHeight="1" x14ac:dyDescent="0.15">
      <c r="A13" s="117">
        <v>12</v>
      </c>
      <c r="B13" s="117" t="s">
        <v>90</v>
      </c>
      <c r="C13" s="117"/>
    </row>
    <row r="14" spans="1:3" s="118" customFormat="1" ht="24.95" customHeight="1" x14ac:dyDescent="0.15">
      <c r="A14" s="117">
        <v>13</v>
      </c>
      <c r="B14" s="117" t="s">
        <v>91</v>
      </c>
      <c r="C14" s="117"/>
    </row>
    <row r="15" spans="1:3" s="118" customFormat="1" ht="24.95" customHeight="1" x14ac:dyDescent="0.15">
      <c r="A15" s="117">
        <v>14</v>
      </c>
      <c r="B15" s="117" t="s">
        <v>92</v>
      </c>
      <c r="C15" s="117"/>
    </row>
    <row r="16" spans="1:3" s="118" customFormat="1" ht="24.95" customHeight="1" x14ac:dyDescent="0.15">
      <c r="A16" s="117">
        <v>15</v>
      </c>
      <c r="B16" s="117" t="s">
        <v>93</v>
      </c>
      <c r="C16" s="117"/>
    </row>
    <row r="17" spans="1:3" s="118" customFormat="1" ht="24.95" customHeight="1" x14ac:dyDescent="0.15">
      <c r="A17" s="117">
        <v>16</v>
      </c>
      <c r="B17" s="117" t="s">
        <v>94</v>
      </c>
      <c r="C17" s="117"/>
    </row>
    <row r="18" spans="1:3" s="118" customFormat="1" ht="24.95" customHeight="1" x14ac:dyDescent="0.15">
      <c r="A18" s="117">
        <v>17</v>
      </c>
      <c r="B18" s="117" t="s">
        <v>95</v>
      </c>
      <c r="C18" s="117"/>
    </row>
    <row r="19" spans="1:3" s="118" customFormat="1" ht="24.95" customHeight="1" x14ac:dyDescent="0.15">
      <c r="A19" s="117">
        <v>18</v>
      </c>
      <c r="B19" s="117" t="s">
        <v>96</v>
      </c>
      <c r="C19" s="117"/>
    </row>
    <row r="20" spans="1:3" s="118" customFormat="1" ht="24.95" customHeight="1" x14ac:dyDescent="0.15">
      <c r="A20" s="117">
        <v>19</v>
      </c>
      <c r="B20" s="117" t="s">
        <v>97</v>
      </c>
      <c r="C20" s="117"/>
    </row>
    <row r="21" spans="1:3" s="118" customFormat="1" ht="24.95" customHeight="1" x14ac:dyDescent="0.15">
      <c r="A21" s="117">
        <v>20</v>
      </c>
      <c r="B21" s="117" t="s">
        <v>98</v>
      </c>
      <c r="C21" s="117"/>
    </row>
    <row r="22" spans="1:3" s="118" customFormat="1" ht="24.95" customHeight="1" x14ac:dyDescent="0.15">
      <c r="A22" s="117">
        <v>21</v>
      </c>
      <c r="B22" s="117" t="s">
        <v>105</v>
      </c>
      <c r="C22" s="117" t="s">
        <v>106</v>
      </c>
    </row>
    <row r="23" spans="1:3" s="118" customFormat="1" ht="24.95" customHeight="1" x14ac:dyDescent="0.15">
      <c r="A23" s="117">
        <v>22</v>
      </c>
      <c r="B23" s="117" t="s">
        <v>99</v>
      </c>
      <c r="C23" s="117"/>
    </row>
    <row r="24" spans="1:3" s="118" customFormat="1" ht="24.95" customHeight="1" x14ac:dyDescent="0.15">
      <c r="A24" s="117">
        <v>24</v>
      </c>
      <c r="B24" s="117" t="s">
        <v>108</v>
      </c>
      <c r="C24" s="117"/>
    </row>
    <row r="25" spans="1:3" s="118" customFormat="1" ht="24.95" customHeight="1" x14ac:dyDescent="0.15">
      <c r="A25" s="117">
        <v>25</v>
      </c>
      <c r="B25" s="117" t="s">
        <v>100</v>
      </c>
      <c r="C25" s="117"/>
    </row>
    <row r="26" spans="1:3" s="118" customFormat="1" ht="24.95" customHeight="1" x14ac:dyDescent="0.15">
      <c r="A26" s="117">
        <v>26</v>
      </c>
      <c r="B26" s="117" t="s">
        <v>101</v>
      </c>
      <c r="C26" s="117"/>
    </row>
    <row r="27" spans="1:3" s="118" customFormat="1" ht="24.95" customHeight="1" x14ac:dyDescent="0.15">
      <c r="A27" s="117">
        <v>27</v>
      </c>
      <c r="B27" s="117" t="s">
        <v>102</v>
      </c>
      <c r="C27" s="117"/>
    </row>
    <row r="28" spans="1:3" s="118" customFormat="1" ht="24.95" customHeight="1" x14ac:dyDescent="0.15">
      <c r="A28" s="117">
        <v>28</v>
      </c>
      <c r="B28" s="117" t="s">
        <v>103</v>
      </c>
      <c r="C28" s="117"/>
    </row>
    <row r="29" spans="1:3" s="118" customFormat="1" ht="24.95" customHeight="1" x14ac:dyDescent="0.15">
      <c r="A29" s="117">
        <v>29</v>
      </c>
      <c r="B29" s="117" t="s">
        <v>104</v>
      </c>
      <c r="C29" s="117"/>
    </row>
    <row r="30" spans="1:3" s="118" customFormat="1" ht="24.95" customHeight="1" x14ac:dyDescent="0.15">
      <c r="A30" s="117">
        <v>30</v>
      </c>
      <c r="B30" s="117" t="s">
        <v>75</v>
      </c>
      <c r="C30" s="117"/>
    </row>
    <row r="31" spans="1:3" s="118" customFormat="1" ht="24.95" customHeight="1" x14ac:dyDescent="0.15">
      <c r="A31" s="117">
        <v>31</v>
      </c>
      <c r="B31" s="117" t="s">
        <v>76</v>
      </c>
      <c r="C31" s="117"/>
    </row>
    <row r="32" spans="1:3" s="118" customFormat="1" ht="24.95" customHeight="1" x14ac:dyDescent="0.15">
      <c r="A32" s="117">
        <v>32</v>
      </c>
      <c r="B32" s="117" t="s">
        <v>77</v>
      </c>
      <c r="C32" s="117"/>
    </row>
  </sheetData>
  <phoneticPr fontId="1"/>
  <pageMargins left="0.7" right="0.7" top="0.75" bottom="0.75" header="0.3" footer="0.3"/>
  <pageSetup paperSize="9" fitToHeight="0" orientation="portrait" verticalDpi="0" r:id="rId1"/>
  <rowBreaks count="1" manualBreakCount="1">
    <brk id="33" max="4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らいふクリニック</vt:lpstr>
      <vt:lpstr>印刷画面</vt:lpstr>
      <vt:lpstr>Sheet1</vt:lpstr>
      <vt:lpstr>Sheet1!Print_Area</vt:lpstr>
      <vt:lpstr>印刷画面!Print_Area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中央放射線部11</dc:creator>
  <cp:lastModifiedBy>中央放射線部 金沢医科大学病院</cp:lastModifiedBy>
  <cp:lastPrinted>2026-06-15T06:43:27Z</cp:lastPrinted>
  <dcterms:created xsi:type="dcterms:W3CDTF">2019-11-01T06:55:23Z</dcterms:created>
  <dcterms:modified xsi:type="dcterms:W3CDTF">2026-08-10T07:30:36Z</dcterms:modified>
</cp:coreProperties>
</file>